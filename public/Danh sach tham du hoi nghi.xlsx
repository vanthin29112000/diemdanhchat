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thin\Desktop\project\app điểm danh sự kiện\public\"/>
    </mc:Choice>
  </mc:AlternateContent>
  <xr:revisionPtr revIDLastSave="0" documentId="13_ncr:1_{F62CC62F-09A2-4783-8AFB-3659F19B4178}" xr6:coauthVersionLast="47" xr6:coauthVersionMax="47" xr10:uidLastSave="{00000000-0000-0000-0000-000000000000}"/>
  <bookViews>
    <workbookView xWindow="-120" yWindow="-120" windowWidth="29040" windowHeight="15720" xr2:uid="{EA9336A6-9F31-4B02-A73A-B49A4B05302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2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D130" i="1"/>
  <c r="E129" i="1"/>
  <c r="D129" i="1"/>
  <c r="D128" i="1"/>
  <c r="E127" i="1"/>
  <c r="D127" i="1"/>
  <c r="E126" i="1"/>
  <c r="D126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<sst xmlns="http://schemas.openxmlformats.org/spreadsheetml/2006/main" count="584" uniqueCount="454">
  <si>
    <t>Mã trên máy</t>
  </si>
  <si>
    <t>Mã nhân sự</t>
  </si>
  <si>
    <t>Họ và tên</t>
  </si>
  <si>
    <t>Số CCCD</t>
  </si>
  <si>
    <t>Email</t>
  </si>
  <si>
    <t>Tên đơn vị</t>
  </si>
  <si>
    <t>00001</t>
  </si>
  <si>
    <t>Tăng Hữu Thủy</t>
  </si>
  <si>
    <t>Ban Giám đốc</t>
  </si>
  <si>
    <t>00002</t>
  </si>
  <si>
    <t>Phùng Thị Hương Lan</t>
  </si>
  <si>
    <t>00003</t>
  </si>
  <si>
    <t>Ngô Văn Hải</t>
  </si>
  <si>
    <t>00004</t>
  </si>
  <si>
    <t>Dương Văn Tuấn</t>
  </si>
  <si>
    <t>00005</t>
  </si>
  <si>
    <t>Phùng Anh Kiệt</t>
  </si>
  <si>
    <t>00006</t>
  </si>
  <si>
    <t>Trần Việt Thắng</t>
  </si>
  <si>
    <t>00007</t>
  </si>
  <si>
    <t>Võ Thị Huyền</t>
  </si>
  <si>
    <t>vthuyen.ktx@vnuhcm.edu.vn</t>
  </si>
  <si>
    <t>Phòng Tổng hợp</t>
  </si>
  <si>
    <t>00008</t>
  </si>
  <si>
    <t>Ngô Thị Mỹ Thạnh</t>
  </si>
  <si>
    <t>00009</t>
  </si>
  <si>
    <t>Trần Thị Ngọc Nhung</t>
  </si>
  <si>
    <t>000010</t>
  </si>
  <si>
    <t>Phan Thị Hồng Tươi</t>
  </si>
  <si>
    <t>000011</t>
  </si>
  <si>
    <t>Nguyễn Đức Chinh</t>
  </si>
  <si>
    <t>000012</t>
  </si>
  <si>
    <t>Bùi Phạm Ngọc Hà</t>
  </si>
  <si>
    <t>000013</t>
  </si>
  <si>
    <t>Hồ Thị Thu Hiền</t>
  </si>
  <si>
    <t>000014</t>
  </si>
  <si>
    <t>Lê Thị Thùy Trang</t>
  </si>
  <si>
    <t>000015</t>
  </si>
  <si>
    <t>Nguyễn Thanh Thảo</t>
  </si>
  <si>
    <t>000016</t>
  </si>
  <si>
    <t>Nguyễn Thị Ngọc Trâm</t>
  </si>
  <si>
    <t>000017</t>
  </si>
  <si>
    <t>Lại Thế Tuân</t>
  </si>
  <si>
    <t>Phòng Kế hoạch - Tài chính</t>
  </si>
  <si>
    <t>000018</t>
  </si>
  <si>
    <t>Nguyễn Việt Trung</t>
  </si>
  <si>
    <t>000019</t>
  </si>
  <si>
    <t>Trương Thị Lời</t>
  </si>
  <si>
    <t>ttloi@ktxhcm.edu.vn</t>
  </si>
  <si>
    <t>000020</t>
  </si>
  <si>
    <t>Trần Cao Cường</t>
  </si>
  <si>
    <t>000021</t>
  </si>
  <si>
    <t>Nguyễn Thị Thanh Tuyền</t>
  </si>
  <si>
    <t>000022</t>
  </si>
  <si>
    <t>Nguyễn Thị Hằng</t>
  </si>
  <si>
    <t>000023</t>
  </si>
  <si>
    <t>Đặng Thị Phương</t>
  </si>
  <si>
    <t>000024</t>
  </si>
  <si>
    <t>Trần Thị Kim Thi</t>
  </si>
  <si>
    <t>000025</t>
  </si>
  <si>
    <t>Dương Thị Diệu Mỹ</t>
  </si>
  <si>
    <t>000026</t>
  </si>
  <si>
    <t>Đặng Bá Bính</t>
  </si>
  <si>
    <t>Phòng CTSV-CĐS</t>
  </si>
  <si>
    <t>000027</t>
  </si>
  <si>
    <t>Nguyễn Hoàng Bảo Trung</t>
  </si>
  <si>
    <t>000028</t>
  </si>
  <si>
    <t>Nguyễn Thị Xuân Loan</t>
  </si>
  <si>
    <t>000029</t>
  </si>
  <si>
    <t>Phùng Thị Kim Liên</t>
  </si>
  <si>
    <t>000030</t>
  </si>
  <si>
    <t>Phạm Nhất Phương</t>
  </si>
  <si>
    <t>000031</t>
  </si>
  <si>
    <t>Trần Minh Thành</t>
  </si>
  <si>
    <t>000032</t>
  </si>
  <si>
    <t>Đinh Thị Quyền</t>
  </si>
  <si>
    <t>000033</t>
  </si>
  <si>
    <t>Chề Long Bảo</t>
  </si>
  <si>
    <t>000034</t>
  </si>
  <si>
    <t>Nguyễn Thanh Tùy</t>
  </si>
  <si>
    <t>000035</t>
  </si>
  <si>
    <t>Phạm Thanh Tuấn</t>
  </si>
  <si>
    <t>000036</t>
  </si>
  <si>
    <t>Nguyễn Văn Lợi</t>
  </si>
  <si>
    <t>Phòng Dịch vụ - Dự án</t>
  </si>
  <si>
    <t>000037</t>
  </si>
  <si>
    <t>Đặng Thị Trà My</t>
  </si>
  <si>
    <t>000038</t>
  </si>
  <si>
    <t>Nguyễn Nhật Tân</t>
  </si>
  <si>
    <t>000039</t>
  </si>
  <si>
    <t>Đặng Thị Nga</t>
  </si>
  <si>
    <t>000040</t>
  </si>
  <si>
    <t>Đặng Minh Tuấn</t>
  </si>
  <si>
    <t>Phòng Quản trị - Thiết bị</t>
  </si>
  <si>
    <t>000041</t>
  </si>
  <si>
    <t>Lê Thị Thanh Thúy</t>
  </si>
  <si>
    <t>000042</t>
  </si>
  <si>
    <t>Đinh Công Minh</t>
  </si>
  <si>
    <t>000043</t>
  </si>
  <si>
    <t>Phan Quốc Huynh</t>
  </si>
  <si>
    <t>000044</t>
  </si>
  <si>
    <t>Trương Văn Sang</t>
  </si>
  <si>
    <t>000045</t>
  </si>
  <si>
    <t>Mạch Thị Oanh</t>
  </si>
  <si>
    <t>000046</t>
  </si>
  <si>
    <t>Ngô Hữu Nghị</t>
  </si>
  <si>
    <t>000047</t>
  </si>
  <si>
    <t>Nguyễn Quốc Hải</t>
  </si>
  <si>
    <t>000048</t>
  </si>
  <si>
    <t>Nguyễn Chí Hải</t>
  </si>
  <si>
    <t>000049</t>
  </si>
  <si>
    <t>Nguyễn Khánh Hiệp</t>
  </si>
  <si>
    <t>000050</t>
  </si>
  <si>
    <t>Nguyễn Thị Như Nữ</t>
  </si>
  <si>
    <t>000051</t>
  </si>
  <si>
    <t>Hỏa Văn Minh</t>
  </si>
  <si>
    <t>Phòng Hạ tầng</t>
  </si>
  <si>
    <t>000052</t>
  </si>
  <si>
    <t>Phạm Thanh Tú</t>
  </si>
  <si>
    <t>000053</t>
  </si>
  <si>
    <t>Lương Đăng Hiếu</t>
  </si>
  <si>
    <t>000054</t>
  </si>
  <si>
    <t>Cao Thị Minh Nhật</t>
  </si>
  <si>
    <t>000055</t>
  </si>
  <si>
    <t>Dương Văn Binh</t>
  </si>
  <si>
    <t>000056</t>
  </si>
  <si>
    <t>Lê Phúc</t>
  </si>
  <si>
    <t>000057</t>
  </si>
  <si>
    <t>Nguyễn Thanh Thạch</t>
  </si>
  <si>
    <t>000058</t>
  </si>
  <si>
    <t>Mai Trúc Đào</t>
  </si>
  <si>
    <t>000059</t>
  </si>
  <si>
    <t>Nguyễn Thanh Ngọc</t>
  </si>
  <si>
    <t>000060</t>
  </si>
  <si>
    <t>Võ Thị Hiền</t>
  </si>
  <si>
    <t>000061</t>
  </si>
  <si>
    <t>Dương Xuân Thành</t>
  </si>
  <si>
    <t>000062</t>
  </si>
  <si>
    <t>Hoàng Mạnh Tài</t>
  </si>
  <si>
    <t>000063</t>
  </si>
  <si>
    <t>Huỳnh Phan Nhật Thùy</t>
  </si>
  <si>
    <t>000064</t>
  </si>
  <si>
    <t>Trần Bá Bẩy</t>
  </si>
  <si>
    <t>000065</t>
  </si>
  <si>
    <t>Lê Ngọc Phương</t>
  </si>
  <si>
    <t>000066</t>
  </si>
  <si>
    <t>Trần Đình Nam</t>
  </si>
  <si>
    <t>Phòng An ninh trật tự</t>
  </si>
  <si>
    <t>000067</t>
  </si>
  <si>
    <t>Nguyễn Công Tường</t>
  </si>
  <si>
    <t>000068</t>
  </si>
  <si>
    <t>Nguyễn Viết Đồng</t>
  </si>
  <si>
    <t>000069</t>
  </si>
  <si>
    <t>Nguyễn Trọng Thiện</t>
  </si>
  <si>
    <t>000070</t>
  </si>
  <si>
    <t>Đoàn Tiến Dũng</t>
  </si>
  <si>
    <t>000071</t>
  </si>
  <si>
    <t>Nguyễn Thị Hạnh</t>
  </si>
  <si>
    <t>000072</t>
  </si>
  <si>
    <t>Nguyễn Văn Lương</t>
  </si>
  <si>
    <t>000073</t>
  </si>
  <si>
    <t>Trịnh Văn Chung</t>
  </si>
  <si>
    <t>000074</t>
  </si>
  <si>
    <t>Nguyễn Bằng Hướng</t>
  </si>
  <si>
    <t>000075</t>
  </si>
  <si>
    <t>Nguyễn Thị Phòng</t>
  </si>
  <si>
    <t>000076</t>
  </si>
  <si>
    <t>Nguyễn Tiến Bản</t>
  </si>
  <si>
    <t>000077</t>
  </si>
  <si>
    <t>Trần Kim Hoàng</t>
  </si>
  <si>
    <t>000078</t>
  </si>
  <si>
    <t>Lê Hồng Vũ</t>
  </si>
  <si>
    <t>000079</t>
  </si>
  <si>
    <t>Nguyễn Thị Trọng</t>
  </si>
  <si>
    <t>Phòng Chăm sóc sức khỏe</t>
  </si>
  <si>
    <t>000080</t>
  </si>
  <si>
    <t>Trần Thị Xuân</t>
  </si>
  <si>
    <t>000081</t>
  </si>
  <si>
    <t>Nguyễn Văn An</t>
  </si>
  <si>
    <t>000082</t>
  </si>
  <si>
    <t>Đinh Huỳnh Đức</t>
  </si>
  <si>
    <t>000083</t>
  </si>
  <si>
    <t>Nguyễn Văn Khá</t>
  </si>
  <si>
    <t>000084</t>
  </si>
  <si>
    <t>Tăng Thị Xuyến</t>
  </si>
  <si>
    <t>000085</t>
  </si>
  <si>
    <t>Hoàng Thị Sang</t>
  </si>
  <si>
    <t>000086</t>
  </si>
  <si>
    <t>Đỗ Thị Huyền Thu</t>
  </si>
  <si>
    <t>Ban Quản lý cụm nhà A.G</t>
  </si>
  <si>
    <t>000087</t>
  </si>
  <si>
    <t>Lê Thị Thanh An</t>
  </si>
  <si>
    <t>000088</t>
  </si>
  <si>
    <t>Nguyễn Quang Luật</t>
  </si>
  <si>
    <t>000089</t>
  </si>
  <si>
    <t>Trương Thị Hoài</t>
  </si>
  <si>
    <t>000090</t>
  </si>
  <si>
    <t>Hoàng Văn Tình</t>
  </si>
  <si>
    <t>000091</t>
  </si>
  <si>
    <t>Nguyễn Thị Tho</t>
  </si>
  <si>
    <t>000092</t>
  </si>
  <si>
    <t>Đỗ Văn Hăng</t>
  </si>
  <si>
    <t>000093</t>
  </si>
  <si>
    <t>Trần Thị Thanh Xuân</t>
  </si>
  <si>
    <t>000094</t>
  </si>
  <si>
    <t>Hoàng Văn Cường</t>
  </si>
  <si>
    <t>Ban Quản lý cụm nhà A.H</t>
  </si>
  <si>
    <t>000095</t>
  </si>
  <si>
    <t>Hoàng Thị Nguyệt</t>
  </si>
  <si>
    <t>000096</t>
  </si>
  <si>
    <t>Nguyễn Phú Vinh</t>
  </si>
  <si>
    <t>000097</t>
  </si>
  <si>
    <t>Nguyễn Chí Nhân</t>
  </si>
  <si>
    <t>000098</t>
  </si>
  <si>
    <t>Trịnh Quốc Bộ</t>
  </si>
  <si>
    <t>000099</t>
  </si>
  <si>
    <t>Nguyễn Công Trinh</t>
  </si>
  <si>
    <t>Ban Quản lý cụm nhà B.A</t>
  </si>
  <si>
    <t>0000100</t>
  </si>
  <si>
    <t>Đinh Thị Lan Anh</t>
  </si>
  <si>
    <t>0000101</t>
  </si>
  <si>
    <t>Nguyễn Thị Huyền</t>
  </si>
  <si>
    <t>0000102</t>
  </si>
  <si>
    <t>Nguyễn Thị Hương</t>
  </si>
  <si>
    <t>0000103</t>
  </si>
  <si>
    <t>Lê Thị Thủy</t>
  </si>
  <si>
    <t>0000104</t>
  </si>
  <si>
    <t>Lê Văn Phúc</t>
  </si>
  <si>
    <t>Ban Quản lý cụm nhà B.B</t>
  </si>
  <si>
    <t>0000105</t>
  </si>
  <si>
    <t>Trần Văn Nhực</t>
  </si>
  <si>
    <t>0000106</t>
  </si>
  <si>
    <t>Nguyễn Thị Vân</t>
  </si>
  <si>
    <t>0000107</t>
  </si>
  <si>
    <t>Trần Phạm Kim Dung</t>
  </si>
  <si>
    <t>0000108</t>
  </si>
  <si>
    <t>Nguyễn Văn Minh</t>
  </si>
  <si>
    <t>0000109</t>
  </si>
  <si>
    <t>Nguyễn Thị Thu Trang</t>
  </si>
  <si>
    <t>Ban Quản lý cụm nhà B.C</t>
  </si>
  <si>
    <t>0000110</t>
  </si>
  <si>
    <t>Trần Văn Chuyền</t>
  </si>
  <si>
    <t>0000111</t>
  </si>
  <si>
    <t>Lê Thị Ngọc Dung</t>
  </si>
  <si>
    <t>0000112</t>
  </si>
  <si>
    <t>Lê Văn Nam</t>
  </si>
  <si>
    <t>0000113</t>
  </si>
  <si>
    <t>Trần Thị Thơ Thơ</t>
  </si>
  <si>
    <t>0000114</t>
  </si>
  <si>
    <t>Nguyễn Văn Trung</t>
  </si>
  <si>
    <t>Ban Quản lý cụm nhà B.D</t>
  </si>
  <si>
    <t>0000115</t>
  </si>
  <si>
    <t>Nguyễn Văn Nam</t>
  </si>
  <si>
    <t>0000116</t>
  </si>
  <si>
    <t>Phạm Văn Phong</t>
  </si>
  <si>
    <t>0000117</t>
  </si>
  <si>
    <t>Hồ Xuân Kỷ</t>
  </si>
  <si>
    <t>0000118</t>
  </si>
  <si>
    <t>Nguyễn Đình Đức</t>
  </si>
  <si>
    <t>0000119</t>
  </si>
  <si>
    <t>Lê Minh Thảo</t>
  </si>
  <si>
    <t>Ban Quản lý cụm nhà B.E</t>
  </si>
  <si>
    <t>0000120</t>
  </si>
  <si>
    <t>Trần Thị Yến</t>
  </si>
  <si>
    <t>0000121</t>
  </si>
  <si>
    <t>Nguyễn Tấn Điệp</t>
  </si>
  <si>
    <t>0000122</t>
  </si>
  <si>
    <t>Cao Thị Hoa</t>
  </si>
  <si>
    <t>0000123</t>
  </si>
  <si>
    <t>0000124</t>
  </si>
  <si>
    <t>Võ Thị Như Muội</t>
  </si>
  <si>
    <t>vtnmuoi@ktxhcm.edu.vn</t>
  </si>
  <si>
    <t>0000125</t>
  </si>
  <si>
    <t>Trần Thị Tuyết</t>
  </si>
  <si>
    <t>0000126</t>
  </si>
  <si>
    <t>Nguyễn Thùy Dung</t>
  </si>
  <si>
    <t>0000127</t>
  </si>
  <si>
    <t>Đinh Thị Thủy</t>
  </si>
  <si>
    <t>dtthuy@ktxhcm.edu.vn</t>
  </si>
  <si>
    <t>0000128</t>
  </si>
  <si>
    <t>Phạm Ngọc Vỹ</t>
  </si>
  <si>
    <t>0000129</t>
  </si>
  <si>
    <t>Nguyễn Hữu Lân</t>
  </si>
  <si>
    <t>nhlan@ktxhcm.edu.vn</t>
  </si>
  <si>
    <t>0000130</t>
  </si>
  <si>
    <t>Trương Hoàng Ngân</t>
  </si>
  <si>
    <t>0000131</t>
  </si>
  <si>
    <t>Lê Nhật Vũ</t>
  </si>
  <si>
    <t>0000132</t>
  </si>
  <si>
    <t>Vũ Thị Chinh</t>
  </si>
  <si>
    <t>0000133</t>
  </si>
  <si>
    <t>Nguyễn Huy Hải</t>
  </si>
  <si>
    <t>0000134</t>
  </si>
  <si>
    <t>Nguyễn Minh Nhật</t>
  </si>
  <si>
    <t>0000135</t>
  </si>
  <si>
    <t>Nguyễn Trần Công Danh</t>
  </si>
  <si>
    <t>0000136</t>
  </si>
  <si>
    <t>046197007730</t>
  </si>
  <si>
    <t>ltthuytrang@ktxhcm.edu.vn</t>
  </si>
  <si>
    <t>0000137</t>
  </si>
  <si>
    <t>Nguyễn Thị Kiều My</t>
  </si>
  <si>
    <t>0000138</t>
  </si>
  <si>
    <t>Thái Dương</t>
  </si>
  <si>
    <t>0000139</t>
  </si>
  <si>
    <t>Phan Xuân Truyện</t>
  </si>
  <si>
    <t>0000140</t>
  </si>
  <si>
    <t>Hứa Tấn Liệt</t>
  </si>
  <si>
    <t>0000141</t>
  </si>
  <si>
    <t>Hoàng Liên Sơn</t>
  </si>
  <si>
    <t>0000142</t>
  </si>
  <si>
    <t>Đỗ Thị Trang</t>
  </si>
  <si>
    <t>0000143</t>
  </si>
  <si>
    <t>Đặng Duy Thiện</t>
  </si>
  <si>
    <t>image</t>
  </si>
  <si>
    <t>image294.jpg</t>
  </si>
  <si>
    <t>image233.jpeg</t>
  </si>
  <si>
    <t>image231.jpeg</t>
  </si>
  <si>
    <t>image112.jpeg</t>
  </si>
  <si>
    <t>image44.jpeg</t>
  </si>
  <si>
    <t>image230.jpeg</t>
  </si>
  <si>
    <t>image288.jpeg</t>
  </si>
  <si>
    <t>image111.jpeg</t>
  </si>
  <si>
    <t>image257.jpeg</t>
  </si>
  <si>
    <t>image221.jpeg</t>
  </si>
  <si>
    <t>image122.jpeg</t>
  </si>
  <si>
    <t>image3.jpeg</t>
  </si>
  <si>
    <t>image63.jpeg</t>
  </si>
  <si>
    <t>image92.jpeg</t>
  </si>
  <si>
    <t>image152.jpeg</t>
  </si>
  <si>
    <t>image165.jpeg</t>
  </si>
  <si>
    <t>image70.jpeg</t>
  </si>
  <si>
    <t>image200.jpeg</t>
  </si>
  <si>
    <t>image281.jpeg</t>
  </si>
  <si>
    <t>image240.jpeg</t>
  </si>
  <si>
    <t>image169.jpeg</t>
  </si>
  <si>
    <t>image157.jpeg</t>
  </si>
  <si>
    <t>image20.jpeg</t>
  </si>
  <si>
    <t>image255.jpeg</t>
  </si>
  <si>
    <t>image42.jpeg</t>
  </si>
  <si>
    <t>image14.jpeg</t>
  </si>
  <si>
    <t>image125.jpeg</t>
  </si>
  <si>
    <t>image176.jpeg</t>
  </si>
  <si>
    <t>image232.jpeg</t>
  </si>
  <si>
    <t>image209.jpeg</t>
  </si>
  <si>
    <t>image249.jpeg</t>
  </si>
  <si>
    <t>image27.jpeg</t>
  </si>
  <si>
    <t>image12.jpeg</t>
  </si>
  <si>
    <t>image154.jpeg</t>
  </si>
  <si>
    <t>image212.jpeg</t>
  </si>
  <si>
    <t>image192.jpeg</t>
  </si>
  <si>
    <t>image21.jpeg</t>
  </si>
  <si>
    <t>image141.jpeg</t>
  </si>
  <si>
    <t>image19.jpeg</t>
  </si>
  <si>
    <t>image16.jpeg</t>
  </si>
  <si>
    <t>image89.jpeg</t>
  </si>
  <si>
    <t>image24.jpeg</t>
  </si>
  <si>
    <t>image220.jpeg</t>
  </si>
  <si>
    <t>image282.jpeg</t>
  </si>
  <si>
    <t>image106.jpeg</t>
  </si>
  <si>
    <t>image110.jpeg</t>
  </si>
  <si>
    <t>image144.jpeg</t>
  </si>
  <si>
    <t>image114.jpeg</t>
  </si>
  <si>
    <t>image134.jpeg</t>
  </si>
  <si>
    <t>image166.jpeg</t>
  </si>
  <si>
    <t>image59.jpeg</t>
  </si>
  <si>
    <t>image211.jpeg</t>
  </si>
  <si>
    <t>image102.jpeg</t>
  </si>
  <si>
    <t>image9.jpeg</t>
  </si>
  <si>
    <t>image43.jpeg</t>
  </si>
  <si>
    <t>image82.jpeg</t>
  </si>
  <si>
    <t>image151.jpeg</t>
  </si>
  <si>
    <t>image107.jpeg</t>
  </si>
  <si>
    <t>image148.jpeg</t>
  </si>
  <si>
    <t>image287.jpeg</t>
  </si>
  <si>
    <t>image45.jpeg</t>
  </si>
  <si>
    <t>image48.jpeg</t>
  </si>
  <si>
    <t>image67.jpeg</t>
  </si>
  <si>
    <t>image239.jpeg</t>
  </si>
  <si>
    <t>image78.jpeg</t>
  </si>
  <si>
    <t>image241.jpeg</t>
  </si>
  <si>
    <t>image117.jpeg</t>
  </si>
  <si>
    <t>image198.jpeg</t>
  </si>
  <si>
    <t>image181.jpeg</t>
  </si>
  <si>
    <t>image33.jpeg</t>
  </si>
  <si>
    <t>image158.jpeg</t>
  </si>
  <si>
    <t>image193.jpeg</t>
  </si>
  <si>
    <t>image275.jpeg</t>
  </si>
  <si>
    <t>image113.jpeg</t>
  </si>
  <si>
    <t>image178.jpeg</t>
  </si>
  <si>
    <t>image248.jpeg</t>
  </si>
  <si>
    <t>image74.jpeg</t>
  </si>
  <si>
    <t>image172.jpeg</t>
  </si>
  <si>
    <t>image262.jpeg</t>
  </si>
  <si>
    <t>image184.jpeg</t>
  </si>
  <si>
    <t>image25.jpeg</t>
  </si>
  <si>
    <t>image189.jpeg</t>
  </si>
  <si>
    <t>image234.jpeg</t>
  </si>
  <si>
    <t>image52.jpeg</t>
  </si>
  <si>
    <t>image37.jpeg</t>
  </si>
  <si>
    <t>image88.jpeg</t>
  </si>
  <si>
    <t>image143.jpeg</t>
  </si>
  <si>
    <t>image280.jpeg</t>
  </si>
  <si>
    <t>image56.jpeg</t>
  </si>
  <si>
    <t>image170.jpeg</t>
  </si>
  <si>
    <t>image40.jpeg</t>
  </si>
  <si>
    <t>image259.jpeg</t>
  </si>
  <si>
    <t>image53.jpeg</t>
  </si>
  <si>
    <t>image51.jpeg</t>
  </si>
  <si>
    <t>image142.jpeg</t>
  </si>
  <si>
    <t>image274.jpeg</t>
  </si>
  <si>
    <t>image116.jpeg</t>
  </si>
  <si>
    <t>image26.jpeg</t>
  </si>
  <si>
    <t>image161.jpeg</t>
  </si>
  <si>
    <t>image160.jpeg</t>
  </si>
  <si>
    <t>image90.jpeg</t>
  </si>
  <si>
    <t>image99.jpeg</t>
  </si>
  <si>
    <t>image269.jpeg</t>
  </si>
  <si>
    <t>image174.jpeg</t>
  </si>
  <si>
    <t>image252.jpeg</t>
  </si>
  <si>
    <t>image194.jpeg</t>
  </si>
  <si>
    <t>image171.jpeg</t>
  </si>
  <si>
    <t>image266.jpeg</t>
  </si>
  <si>
    <t>image86.jpeg</t>
  </si>
  <si>
    <t>image98.jpeg</t>
  </si>
  <si>
    <t>image260.jpeg</t>
  </si>
  <si>
    <t>image197.jpeg</t>
  </si>
  <si>
    <t>image195.jpeg</t>
  </si>
  <si>
    <t>image217.jpeg</t>
  </si>
  <si>
    <t>image64.jpeg</t>
  </si>
  <si>
    <t>image120.jpeg</t>
  </si>
  <si>
    <t>image77.jpeg</t>
  </si>
  <si>
    <t>image263.jpeg</t>
  </si>
  <si>
    <t>image146.jpeg</t>
  </si>
  <si>
    <t>image8.jpeg</t>
  </si>
  <si>
    <t>image289.jpeg</t>
  </si>
  <si>
    <t>image261.jpeg</t>
  </si>
  <si>
    <t>image177.jpeg</t>
  </si>
  <si>
    <t>image28.jpeg</t>
  </si>
  <si>
    <t>image208.jpeg</t>
  </si>
  <si>
    <t>image129.jpeg</t>
  </si>
  <si>
    <t>image278.jpeg</t>
  </si>
  <si>
    <t>image80.jpeg</t>
  </si>
  <si>
    <t>image292.jpeg</t>
  </si>
  <si>
    <t>image133.jpeg</t>
  </si>
  <si>
    <t>image137.jpeg</t>
  </si>
  <si>
    <t>image179.jpeg</t>
  </si>
  <si>
    <t>image94.jpeg</t>
  </si>
  <si>
    <t>image162.jpeg</t>
  </si>
  <si>
    <t>image236.jpeg</t>
  </si>
  <si>
    <t>image229.jpeg</t>
  </si>
  <si>
    <t>image65.jpeg</t>
  </si>
  <si>
    <t>image47.jpeg</t>
  </si>
  <si>
    <t>image39.jpeg</t>
  </si>
  <si>
    <t>image15.jpeg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</si>
</sst>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0" xfId="0" quotePrefix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5" fillId="2" borderId="2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wnloads/DS%20Nhans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"/>
    </sheetNames>
    <sheetDataSet>
      <sheetData sheetId="0" refreshError="1">
        <row r="4">
          <cell r="A4" t="str">
            <v>Tăng Hữu Thủy</v>
          </cell>
          <cell r="B4" t="str">
            <v>052074003255</v>
          </cell>
          <cell r="C4" t="str">
            <v>ththuy@vnuhcm.edu.vn</v>
          </cell>
        </row>
        <row r="5">
          <cell r="A5" t="str">
            <v>Ngô Văn Hải</v>
          </cell>
          <cell r="B5" t="str">
            <v>038064036430</v>
          </cell>
          <cell r="C5" t="str">
            <v>nvhai@vnuhcm.edu.vn</v>
          </cell>
        </row>
        <row r="6">
          <cell r="A6" t="str">
            <v>Phùng Anh Kiệt</v>
          </cell>
          <cell r="B6" t="str">
            <v>082075008055</v>
          </cell>
          <cell r="C6" t="str">
            <v>anhkiet@vnuhcm.edu.vn</v>
          </cell>
        </row>
        <row r="7">
          <cell r="A7" t="str">
            <v>Phùng Thị Hương Lan</v>
          </cell>
          <cell r="B7" t="str">
            <v>034177018959</v>
          </cell>
          <cell r="C7" t="str">
            <v>huonglan@vnuhcm.edu.vn</v>
          </cell>
        </row>
        <row r="8">
          <cell r="A8" t="str">
            <v>Trần Việt Thắng</v>
          </cell>
          <cell r="B8" t="str">
            <v>079079032487</v>
          </cell>
          <cell r="C8" t="str">
            <v>tvthang@ktxhcm.edu.vn</v>
          </cell>
        </row>
        <row r="9">
          <cell r="A9" t="str">
            <v>Dương Văn Tuấn</v>
          </cell>
          <cell r="B9" t="str">
            <v>082077013772</v>
          </cell>
          <cell r="C9" t="str">
            <v>dvtuan@vnuhcm.edu.vn</v>
          </cell>
        </row>
        <row r="10">
          <cell r="A10" t="str">
            <v>PHÒNG TỔNG HỢP</v>
          </cell>
        </row>
        <row r="11">
          <cell r="A11" t="str">
            <v>Ngô Thị Mỹ Thạnh</v>
          </cell>
          <cell r="B11" t="str">
            <v>048182000489</v>
          </cell>
          <cell r="C11" t="str">
            <v>ntmthanh@ktxhcm.edu.vn</v>
          </cell>
        </row>
        <row r="12">
          <cell r="A12" t="str">
            <v>Nguyễn Đức Chinh</v>
          </cell>
          <cell r="B12" t="str">
            <v>070084007765</v>
          </cell>
          <cell r="C12" t="str">
            <v>ndchinh@ktxhcm.edu.vn</v>
          </cell>
        </row>
        <row r="13">
          <cell r="A13" t="str">
            <v>Trần Thị Ngọc Nhung</v>
          </cell>
          <cell r="B13" t="str">
            <v>082192002762</v>
          </cell>
          <cell r="C13" t="str">
            <v>ngocnhung@vnuhcm.edu.vn</v>
          </cell>
        </row>
        <row r="14">
          <cell r="A14" t="str">
            <v>Phan Thị Hồng Tươi</v>
          </cell>
          <cell r="B14" t="str">
            <v>075185018431</v>
          </cell>
          <cell r="C14" t="str">
            <v>pthtuoi@ktxhcm.edu.vn</v>
          </cell>
        </row>
        <row r="15">
          <cell r="A15" t="str">
            <v>Võ Thị Huyền</v>
          </cell>
          <cell r="B15" t="str">
            <v>044197006714</v>
          </cell>
          <cell r="C15" t="str">
            <v>vohuyen07081997@gmail.com</v>
          </cell>
        </row>
        <row r="16">
          <cell r="A16" t="str">
            <v>Bùi Phạm Ngọc Hà</v>
          </cell>
          <cell r="B16" t="str">
            <v>074199000787</v>
          </cell>
          <cell r="C16" t="str">
            <v>bpnha@ktxhcm.edu.vn</v>
          </cell>
        </row>
        <row r="17">
          <cell r="A17" t="str">
            <v>Hồ Thị Thu Hiền</v>
          </cell>
          <cell r="B17" t="str">
            <v>040196030707</v>
          </cell>
          <cell r="C17" t="str">
            <v>htthien@ktxhcm.edu.vn</v>
          </cell>
        </row>
        <row r="18">
          <cell r="A18" t="str">
            <v>Nguyễn Thanh Thảo</v>
          </cell>
          <cell r="B18" t="str">
            <v>094199004038</v>
          </cell>
          <cell r="C18" t="str">
            <v>ntthao@ktxhcm.edu.vn</v>
          </cell>
        </row>
        <row r="19">
          <cell r="A19" t="str">
            <v>Phan Thị Kim Thương</v>
          </cell>
          <cell r="B19" t="str">
            <v>052300009892</v>
          </cell>
          <cell r="C19" t="str">
            <v>ptkthuong@ktxhcm.edu.vn</v>
          </cell>
        </row>
        <row r="20">
          <cell r="A20" t="str">
            <v>Nguyễn Thị Ngọc Trâm</v>
          </cell>
          <cell r="B20" t="str">
            <v>062198003387</v>
          </cell>
          <cell r="C20" t="str">
            <v>ntntram@ktxhcm.edu.vn</v>
          </cell>
        </row>
        <row r="21">
          <cell r="A21" t="str">
            <v>Lê Thị Thùy Trang</v>
          </cell>
          <cell r="B21" t="str">
            <v>044197002221</v>
          </cell>
          <cell r="C21" t="str">
            <v>trangltt@ktxhcm.edu.vn</v>
          </cell>
        </row>
        <row r="22">
          <cell r="A22" t="str">
            <v>Phan Thị Thanh Tuyền</v>
          </cell>
          <cell r="B22" t="str">
            <v>080198007680</v>
          </cell>
          <cell r="C22" t="str">
            <v>ptttuyen@ktxhcm.edu.vn</v>
          </cell>
        </row>
        <row r="23">
          <cell r="A23" t="str">
            <v>Trần Thị Tuyết</v>
          </cell>
          <cell r="B23" t="str">
            <v>054175002772</v>
          </cell>
          <cell r="C23" t="str">
            <v>tttuyet@ktxhcm.edu.vn</v>
          </cell>
        </row>
        <row r="24">
          <cell r="A24" t="str">
            <v>Hoàng Văn Định</v>
          </cell>
          <cell r="B24" t="str">
            <v>038073018358</v>
          </cell>
          <cell r="C24" t="str">
            <v>hvdinh@ktxhcm.edu.vn</v>
          </cell>
        </row>
        <row r="25">
          <cell r="A25" t="str">
            <v>Nguyễn Thị Hoài</v>
          </cell>
          <cell r="B25" t="str">
            <v>040175029487</v>
          </cell>
          <cell r="C25" t="str">
            <v>nthoai@ktxhcm.edu.vn</v>
          </cell>
        </row>
        <row r="26">
          <cell r="A26" t="str">
            <v>Nguyễn Văn Bá Khương</v>
          </cell>
          <cell r="B26" t="str">
            <v>086080002477</v>
          </cell>
          <cell r="C26" t="str">
            <v>nvbkhuong@ktxhcm.edu.vn</v>
          </cell>
        </row>
        <row r="27">
          <cell r="A27" t="str">
            <v>Lê Xuân Ngọc</v>
          </cell>
          <cell r="B27" t="str">
            <v>038075016438</v>
          </cell>
          <cell r="C27" t="str">
            <v>lxngoc@ktxhcm.edu.vn</v>
          </cell>
        </row>
        <row r="28">
          <cell r="A28" t="str">
            <v>Cao Long Thọ</v>
          </cell>
          <cell r="B28" t="str">
            <v>044071001302</v>
          </cell>
          <cell r="C28" t="str">
            <v>cltho@ktxhcm.edu.vn</v>
          </cell>
        </row>
        <row r="29">
          <cell r="A29" t="str">
            <v>PHÒNG KẾ HOẠCH - TÀI CHÍNH</v>
          </cell>
        </row>
        <row r="30">
          <cell r="A30" t="str">
            <v>Lại Thế Tuân</v>
          </cell>
          <cell r="B30" t="str">
            <v>038079038115</v>
          </cell>
          <cell r="C30" t="str">
            <v>lttuan@vnuhcm.edu.vn</v>
          </cell>
        </row>
        <row r="31">
          <cell r="A31" t="str">
            <v>Trương Thị Lời</v>
          </cell>
          <cell r="B31" t="str">
            <v>052191020632</v>
          </cell>
          <cell r="C31" t="str">
            <v>loiktx0607@gmail.com</v>
          </cell>
        </row>
        <row r="32">
          <cell r="A32" t="str">
            <v>Nguyễn Việt Trung</v>
          </cell>
          <cell r="B32" t="str">
            <v>066084009464</v>
          </cell>
          <cell r="C32" t="str">
            <v>trungnv@ktxhcm.edu.vn</v>
          </cell>
        </row>
        <row r="33">
          <cell r="A33" t="str">
            <v>Trần Cao Cường</v>
          </cell>
          <cell r="B33" t="str">
            <v>036086006308</v>
          </cell>
          <cell r="C33" t="str">
            <v>tccuong@ktxhcm.edu.vn</v>
          </cell>
        </row>
        <row r="34">
          <cell r="A34" t="str">
            <v>Nguyễn Thùy Dung</v>
          </cell>
          <cell r="B34" t="str">
            <v>034300011409</v>
          </cell>
          <cell r="C34" t="str">
            <v>ntdung@ktxhcm.edu.vn</v>
          </cell>
        </row>
        <row r="35">
          <cell r="A35" t="str">
            <v>Lê Thị Giang</v>
          </cell>
          <cell r="B35" t="str">
            <v>066199011370</v>
          </cell>
          <cell r="C35" t="str">
            <v>ltgiang@ktxhcm.edu.vn</v>
          </cell>
        </row>
        <row r="36">
          <cell r="A36" t="str">
            <v>Nguyễn Thị Hằng</v>
          </cell>
          <cell r="B36" t="str">
            <v>036176014814</v>
          </cell>
          <cell r="C36" t="str">
            <v>nthang@ktxhcm.edu.vn</v>
          </cell>
        </row>
        <row r="37">
          <cell r="A37" t="str">
            <v>Lương Thị Khánh Hiền</v>
          </cell>
          <cell r="B37" t="str">
            <v>034199003972</v>
          </cell>
          <cell r="C37" t="str">
            <v>ltkhien@ktxhcm.edu.vn</v>
          </cell>
        </row>
        <row r="38">
          <cell r="A38" t="str">
            <v>Hồ Thị Lệ Hoa</v>
          </cell>
          <cell r="B38" t="str">
            <v>052177012547</v>
          </cell>
          <cell r="C38" t="str">
            <v>htlhoa@ktxhcm.edu.vn</v>
          </cell>
        </row>
        <row r="39">
          <cell r="A39" t="str">
            <v>Trần Ngọc Huy</v>
          </cell>
          <cell r="B39" t="str">
            <v>077200004686</v>
          </cell>
        </row>
        <row r="40">
          <cell r="A40" t="str">
            <v>Dương Thị Diệu Mỹ</v>
          </cell>
          <cell r="B40" t="str">
            <v>046193009778</v>
          </cell>
          <cell r="C40" t="str">
            <v>dtdmy@ktxhcm.edu.vn</v>
          </cell>
        </row>
        <row r="41">
          <cell r="A41" t="str">
            <v>Hồ Thị Ánh Nguyệt</v>
          </cell>
          <cell r="B41" t="str">
            <v>052198009014</v>
          </cell>
          <cell r="C41" t="str">
            <v>htanguyet@ktxhcm.edu.vn</v>
          </cell>
        </row>
        <row r="42">
          <cell r="A42" t="str">
            <v>Đặng Thị Phương</v>
          </cell>
          <cell r="B42" t="str">
            <v>042194000293</v>
          </cell>
          <cell r="C42" t="str">
            <v>dtphuong@ktxhcm.edu.vn</v>
          </cell>
        </row>
        <row r="43">
          <cell r="A43" t="str">
            <v>Trần Thị Kim Thi</v>
          </cell>
          <cell r="B43" t="str">
            <v>051194010266</v>
          </cell>
          <cell r="C43" t="str">
            <v>ttkthi@ktxhcm.edu.vn</v>
          </cell>
        </row>
        <row r="44">
          <cell r="A44" t="str">
            <v>Phan Thị Thu Thủy</v>
          </cell>
          <cell r="B44" t="str">
            <v>052186011024</v>
          </cell>
          <cell r="C44" t="str">
            <v>pttthuy@ktxhcm.edu.vn</v>
          </cell>
        </row>
        <row r="45">
          <cell r="A45" t="str">
            <v>Trần Thị Kiều Trang</v>
          </cell>
          <cell r="B45" t="str">
            <v>042198008174</v>
          </cell>
          <cell r="C45" t="str">
            <v>ttktrang@ktxhcm.edu.vn</v>
          </cell>
        </row>
        <row r="46">
          <cell r="A46" t="str">
            <v>Nguyễn Thị Thanh Tuyền</v>
          </cell>
          <cell r="B46" t="str">
            <v>052183018949</v>
          </cell>
          <cell r="C46" t="str">
            <v>ntttuyen@ktxhcm.edu.vn</v>
          </cell>
        </row>
        <row r="47">
          <cell r="A47" t="str">
            <v>PHÒNG DỊCH VỤ - DỰ ÁN</v>
          </cell>
        </row>
        <row r="48">
          <cell r="A48" t="str">
            <v>Nguyễn Văn Lợi</v>
          </cell>
          <cell r="B48" t="str">
            <v>036087021699</v>
          </cell>
          <cell r="C48" t="str">
            <v>nvloi@ktxhcm.edu.vn</v>
          </cell>
        </row>
        <row r="49">
          <cell r="A49" t="str">
            <v>Đặng Thị Hải Lam</v>
          </cell>
          <cell r="B49" t="str">
            <v>040188034357</v>
          </cell>
          <cell r="C49" t="str">
            <v>dthlam@ktxhcm.edu.vn</v>
          </cell>
        </row>
        <row r="50">
          <cell r="A50" t="str">
            <v>Đặng Thị Trà My</v>
          </cell>
          <cell r="B50" t="str">
            <v>052198002926</v>
          </cell>
          <cell r="C50" t="str">
            <v>dttmy@ktxhcm.edu.vn</v>
          </cell>
        </row>
        <row r="51">
          <cell r="A51" t="str">
            <v>Đặng Thị Nga</v>
          </cell>
          <cell r="B51" t="str">
            <v>064191005736</v>
          </cell>
          <cell r="C51" t="str">
            <v>dtnga@ktxhcm.edu.vn</v>
          </cell>
        </row>
        <row r="52">
          <cell r="A52" t="str">
            <v>Nguyễn Nhật Tân</v>
          </cell>
          <cell r="B52" t="str">
            <v>075200003513</v>
          </cell>
          <cell r="C52" t="str">
            <v>nntan@ktxhcm.edu.vn</v>
          </cell>
        </row>
        <row r="53">
          <cell r="A53" t="str">
            <v>Trịnh Phương Thảo</v>
          </cell>
          <cell r="B53" t="str">
            <v>038181017298</v>
          </cell>
          <cell r="C53" t="str">
            <v>tpthao@ktxhcm.edu.vn</v>
          </cell>
        </row>
        <row r="54">
          <cell r="A54" t="str">
            <v>Nguyễn Hữu Lân</v>
          </cell>
          <cell r="B54" t="str">
            <v>052092020863</v>
          </cell>
        </row>
        <row r="55">
          <cell r="A55" t="str">
            <v>Đỗ Thị Nhung</v>
          </cell>
          <cell r="B55" t="str">
            <v>038190057168</v>
          </cell>
          <cell r="C55" t="str">
            <v>dtnhung@ktxhcm.edu.vn</v>
          </cell>
        </row>
        <row r="56">
          <cell r="A56" t="str">
            <v>PHÒNG AN NINH TRẬT TỰ</v>
          </cell>
        </row>
        <row r="57">
          <cell r="A57" t="str">
            <v>Trần Đình Nam</v>
          </cell>
          <cell r="B57" t="str">
            <v>040074018091</v>
          </cell>
          <cell r="C57" t="str">
            <v>tdnam@ktxhcm.edu.vn</v>
          </cell>
        </row>
        <row r="58">
          <cell r="A58" t="str">
            <v>Nguyễn Công Tường</v>
          </cell>
          <cell r="B58" t="str">
            <v>046082030870</v>
          </cell>
          <cell r="C58" t="str">
            <v>nctuong@vnuhcm.edu.vn</v>
          </cell>
        </row>
        <row r="59">
          <cell r="A59" t="str">
            <v>Nguyễn Viết Đồng</v>
          </cell>
          <cell r="B59" t="str">
            <v>042083017414</v>
          </cell>
          <cell r="C59" t="str">
            <v>nvdong@ktxhcm.edu.vn</v>
          </cell>
        </row>
        <row r="60">
          <cell r="A60" t="str">
            <v>Đoàn Tiến Dũng</v>
          </cell>
          <cell r="B60" t="str">
            <v>044086007710</v>
          </cell>
          <cell r="C60" t="str">
            <v>dtdung@ktxhcm.edu.vn</v>
          </cell>
        </row>
        <row r="61">
          <cell r="A61" t="str">
            <v>Nguyễn Thị Hạnh</v>
          </cell>
          <cell r="B61" t="str">
            <v>042185005773</v>
          </cell>
          <cell r="C61" t="str">
            <v>nthanh@ktxhcm.edu.vn</v>
          </cell>
        </row>
        <row r="62">
          <cell r="A62" t="str">
            <v>Bùi Đức Hòa</v>
          </cell>
          <cell r="B62" t="str">
            <v>019077000235</v>
          </cell>
          <cell r="C62" t="str">
            <v>bdhoa@ktxhcm.edu.vn</v>
          </cell>
        </row>
        <row r="63">
          <cell r="A63" t="str">
            <v>Nguyễn Trọng Thiện</v>
          </cell>
          <cell r="B63" t="str">
            <v>033083000240</v>
          </cell>
          <cell r="C63" t="str">
            <v>ntthien@ktxhcm.edu.vn</v>
          </cell>
        </row>
        <row r="64">
          <cell r="A64" t="str">
            <v>Nguyễn Tiến Bản</v>
          </cell>
          <cell r="B64" t="str">
            <v>042082010309</v>
          </cell>
          <cell r="C64" t="str">
            <v>ntban@ktxhcm.edu.vn</v>
          </cell>
        </row>
        <row r="65">
          <cell r="A65" t="str">
            <v>Trịnh Văn Chung</v>
          </cell>
          <cell r="B65" t="str">
            <v>038076011745</v>
          </cell>
          <cell r="C65" t="str">
            <v>tvchung@ktxhcm.edu.vn</v>
          </cell>
        </row>
        <row r="66">
          <cell r="A66" t="str">
            <v>Nguyễn Tấn Đại</v>
          </cell>
          <cell r="B66" t="str">
            <v>074088007548</v>
          </cell>
          <cell r="C66" t="str">
            <v>ntdai@ktxhcm.edu.vn</v>
          </cell>
        </row>
        <row r="67">
          <cell r="A67" t="str">
            <v>Nguyễn Trần Công Danh</v>
          </cell>
          <cell r="B67" t="str">
            <v>074084008367</v>
          </cell>
          <cell r="C67" t="str">
            <v>ntcdanh@ktxhcm.edu.vn</v>
          </cell>
        </row>
        <row r="68">
          <cell r="A68" t="str">
            <v>Trần Kim Hoàng</v>
          </cell>
          <cell r="B68" t="str">
            <v>074093005297</v>
          </cell>
          <cell r="C68" t="str">
            <v>tkhoang@ktxhcm.edu.vn</v>
          </cell>
        </row>
        <row r="69">
          <cell r="A69" t="str">
            <v>Nguyễn Bằng Hướng</v>
          </cell>
          <cell r="B69" t="str">
            <v>040072007395</v>
          </cell>
          <cell r="C69" t="str">
            <v>nbhuong@ktxhcm.edu.vn</v>
          </cell>
        </row>
        <row r="70">
          <cell r="A70" t="str">
            <v>Nguyễn Văn Khanh</v>
          </cell>
          <cell r="B70" t="str">
            <v>075092009301</v>
          </cell>
          <cell r="C70" t="str">
            <v>nvkhanh@ktxhcm.edu.vn</v>
          </cell>
        </row>
        <row r="71">
          <cell r="A71" t="str">
            <v>Nguyễn Trung Kiên</v>
          </cell>
          <cell r="B71" t="str">
            <v>034076007644</v>
          </cell>
          <cell r="C71" t="str">
            <v>ntkien@ktxhcm.edu.vn</v>
          </cell>
        </row>
        <row r="72">
          <cell r="A72" t="str">
            <v>Nguyễn Văn Lương</v>
          </cell>
          <cell r="B72" t="str">
            <v>038077027467</v>
          </cell>
          <cell r="C72" t="str">
            <v>nvluong@ktxhcm.edu.vn</v>
          </cell>
        </row>
        <row r="73">
          <cell r="A73" t="str">
            <v>Nguyễn Minh Nhật</v>
          </cell>
          <cell r="B73" t="str">
            <v>068082008364</v>
          </cell>
          <cell r="C73" t="str">
            <v>nmnhat@ktxhcm.edu.vn</v>
          </cell>
        </row>
        <row r="74">
          <cell r="A74" t="str">
            <v>Nguyễn Thị Phòng</v>
          </cell>
          <cell r="B74" t="str">
            <v>040191009115</v>
          </cell>
          <cell r="C74" t="str">
            <v>ntphong@ktxhcm.edu.vn</v>
          </cell>
        </row>
        <row r="75">
          <cell r="A75" t="str">
            <v>Lâm Văn Sơn</v>
          </cell>
          <cell r="B75" t="str">
            <v>079095018885</v>
          </cell>
          <cell r="C75" t="str">
            <v>lvson@ktxhcm.edu.vn</v>
          </cell>
        </row>
        <row r="76">
          <cell r="A76" t="str">
            <v>Nguyễn Thanh Sơn</v>
          </cell>
          <cell r="B76" t="str">
            <v>079095000920</v>
          </cell>
          <cell r="C76" t="str">
            <v>ntson@ktxhcm.edu.vn</v>
          </cell>
        </row>
        <row r="77">
          <cell r="A77" t="str">
            <v>Đinh Xuân Sơn</v>
          </cell>
          <cell r="B77" t="str">
            <v>040079016393</v>
          </cell>
          <cell r="C77" t="str">
            <v>dxson@ktxhcm.edu.vn</v>
          </cell>
        </row>
        <row r="78">
          <cell r="A78" t="str">
            <v>Huỳnh Hoàng Thanh</v>
          </cell>
          <cell r="B78" t="str">
            <v>084099003539</v>
          </cell>
          <cell r="C78" t="str">
            <v>hhthanh@ktxhcm.edu.vn</v>
          </cell>
        </row>
        <row r="79">
          <cell r="A79" t="str">
            <v>Trần Xuân Thanh</v>
          </cell>
          <cell r="B79" t="str">
            <v>074080002967</v>
          </cell>
          <cell r="C79" t="str">
            <v>txthanh@ktxhcm.edu.vn</v>
          </cell>
        </row>
        <row r="80">
          <cell r="A80" t="str">
            <v>Đỗ Minh Toàn</v>
          </cell>
          <cell r="B80" t="str">
            <v>072091002301</v>
          </cell>
          <cell r="C80" t="str">
            <v>dmtoan@ktxhcm.edu.vn</v>
          </cell>
        </row>
        <row r="81">
          <cell r="A81" t="str">
            <v>Lê Hồng Vũ</v>
          </cell>
          <cell r="B81" t="str">
            <v>074094008227</v>
          </cell>
          <cell r="C81" t="str">
            <v>lhvu@ktxhcm.edu.vn</v>
          </cell>
        </row>
        <row r="82">
          <cell r="A82" t="str">
            <v>Lê Văn Bảo</v>
          </cell>
          <cell r="B82" t="str">
            <v>054075001371</v>
          </cell>
          <cell r="C82" t="str">
            <v>lvbao@ktxhcm.edu.vn</v>
          </cell>
        </row>
        <row r="83">
          <cell r="A83" t="str">
            <v>Trần Hoàng Dũng</v>
          </cell>
          <cell r="B83" t="str">
            <v>074083007494</v>
          </cell>
          <cell r="C83" t="str">
            <v>thdung@ktxhcm.edu.vn</v>
          </cell>
        </row>
        <row r="84">
          <cell r="A84" t="str">
            <v>Phạm Hoàng Em</v>
          </cell>
          <cell r="B84" t="str">
            <v>086079000886</v>
          </cell>
          <cell r="C84" t="str">
            <v>phem@ktxhcm.edu.vn</v>
          </cell>
        </row>
        <row r="85">
          <cell r="A85" t="str">
            <v>Phạm Phước Giàu</v>
          </cell>
          <cell r="B85" t="str">
            <v>074088009468</v>
          </cell>
          <cell r="C85" t="str">
            <v>ppgiau@ktxhcm.edu.vn</v>
          </cell>
        </row>
        <row r="86">
          <cell r="A86" t="str">
            <v>Chu Văn Hoàng</v>
          </cell>
          <cell r="B86" t="str">
            <v>040072000185</v>
          </cell>
          <cell r="C86" t="str">
            <v>cvhoang@ktxhcm.edu.vn</v>
          </cell>
        </row>
        <row r="87">
          <cell r="A87" t="str">
            <v>Lê Văn Khiêm</v>
          </cell>
          <cell r="B87" t="str">
            <v>074089006925</v>
          </cell>
          <cell r="C87" t="str">
            <v>lvkhiem@ktxhcm.edu.vn</v>
          </cell>
        </row>
        <row r="88">
          <cell r="A88" t="str">
            <v>Thái Văn Ngọc</v>
          </cell>
          <cell r="B88" t="str">
            <v>074088005861</v>
          </cell>
          <cell r="C88" t="str">
            <v>tvngoc@ktxhcm.edu.vn</v>
          </cell>
        </row>
        <row r="89">
          <cell r="A89" t="str">
            <v>Đỗ Anh Tài</v>
          </cell>
          <cell r="B89" t="str">
            <v>038073020505</v>
          </cell>
          <cell r="C89" t="str">
            <v>datai@ktxhcm.edu.vn</v>
          </cell>
        </row>
        <row r="90">
          <cell r="A90" t="str">
            <v>Bùi Công Tiếp</v>
          </cell>
          <cell r="B90" t="str">
            <v>030075013726</v>
          </cell>
          <cell r="C90" t="str">
            <v>bctiep@ktxhcm.edu.vn</v>
          </cell>
        </row>
        <row r="91">
          <cell r="A91" t="str">
            <v>PHÒNG CÔNG TÁC SINH VIÊN - CHUYỂN ĐỔI SỐ</v>
          </cell>
        </row>
        <row r="92">
          <cell r="A92" t="str">
            <v>Đặng Bá Bính</v>
          </cell>
          <cell r="B92" t="str">
            <v>040076016070</v>
          </cell>
          <cell r="C92" t="str">
            <v>dbbinh@ktxhcm.edu.vn</v>
          </cell>
        </row>
        <row r="93">
          <cell r="A93" t="str">
            <v>Nguyễn Thị Xuân Loan</v>
          </cell>
          <cell r="B93" t="str">
            <v>060189016675</v>
          </cell>
          <cell r="C93" t="str">
            <v>ntxloan@ktxhcm.edu.vn</v>
          </cell>
        </row>
        <row r="94">
          <cell r="A94" t="str">
            <v>Nguyễn Hoàng Bảo Trung</v>
          </cell>
          <cell r="B94" t="str">
            <v>087089019199</v>
          </cell>
          <cell r="C94" t="str">
            <v>nhbtrung@ktxhcm.edu.vn</v>
          </cell>
        </row>
        <row r="95">
          <cell r="A95" t="str">
            <v>Phạm Thị Vân Anh</v>
          </cell>
          <cell r="B95" t="str">
            <v>034181008345</v>
          </cell>
          <cell r="C95" t="str">
            <v>ptvanh@ktxhcm.edu.vn</v>
          </cell>
        </row>
        <row r="96">
          <cell r="A96" t="str">
            <v>Chề Long Bảo</v>
          </cell>
          <cell r="B96" t="str">
            <v>079099026760</v>
          </cell>
          <cell r="C96" t="str">
            <v>clbao@ktxhcm.edu.vn</v>
          </cell>
        </row>
        <row r="97">
          <cell r="A97" t="str">
            <v>Trần Hoàng Kim</v>
          </cell>
          <cell r="B97" t="str">
            <v>086184006875</v>
          </cell>
          <cell r="C97" t="str">
            <v>thkim@ktxhcm.edu.vn</v>
          </cell>
        </row>
        <row r="98">
          <cell r="A98" t="str">
            <v>Phùng Thị Kim Liên</v>
          </cell>
          <cell r="B98" t="str">
            <v>025184011415</v>
          </cell>
          <cell r="C98" t="str">
            <v>ptklien@ktxhcm.edu.vn</v>
          </cell>
        </row>
        <row r="99">
          <cell r="A99" t="str">
            <v>Đinh Xuân Nguyên</v>
          </cell>
          <cell r="B99" t="str">
            <v>089085032116</v>
          </cell>
          <cell r="C99" t="str">
            <v>dxnguyen@ktxhcm.edu.vn</v>
          </cell>
        </row>
        <row r="100">
          <cell r="A100" t="str">
            <v>Phạm Nhất Phương</v>
          </cell>
          <cell r="B100" t="str">
            <v>082081000085</v>
          </cell>
          <cell r="C100" t="str">
            <v>pnphuong@ktxhcm.edu.vn</v>
          </cell>
        </row>
        <row r="101">
          <cell r="A101" t="str">
            <v>Đinh Thị Quyền</v>
          </cell>
          <cell r="B101" t="str">
            <v>080183004673</v>
          </cell>
          <cell r="C101" t="str">
            <v>dtquyen@ktxhcm.edu.vn</v>
          </cell>
        </row>
        <row r="102">
          <cell r="A102" t="str">
            <v>Trần Minh Thành</v>
          </cell>
          <cell r="B102" t="str">
            <v>070092008110</v>
          </cell>
          <cell r="C102" t="str">
            <v>tmthanh@ktxhcm.edu.vn</v>
          </cell>
        </row>
        <row r="103">
          <cell r="A103" t="str">
            <v>Đinh Thị Thủy</v>
          </cell>
          <cell r="B103" t="str">
            <v>056183001368</v>
          </cell>
          <cell r="C103" t="str">
            <v>dtthuyktx@gmail.com</v>
          </cell>
        </row>
        <row r="104">
          <cell r="A104" t="str">
            <v>Phạm Thanh Tuấn</v>
          </cell>
          <cell r="B104" t="str">
            <v>060200012353</v>
          </cell>
          <cell r="C104" t="str">
            <v>pttuan@ktxhcm.edu.vn</v>
          </cell>
        </row>
        <row r="105">
          <cell r="A105" t="str">
            <v>Nguyễn Thanh Tùy</v>
          </cell>
          <cell r="B105" t="str">
            <v>046085003019</v>
          </cell>
          <cell r="C105" t="str">
            <v>nttuy@ktxhcm.edu.vn</v>
          </cell>
        </row>
        <row r="106">
          <cell r="A106" t="str">
            <v>Phạm Ngọc Vỹ</v>
          </cell>
          <cell r="B106" t="str">
            <v>051078007200</v>
          </cell>
          <cell r="C106" t="str">
            <v>pnvy@ktxhcm.edu.vn</v>
          </cell>
        </row>
        <row r="107">
          <cell r="A107" t="str">
            <v>Trần Đông Hải</v>
          </cell>
          <cell r="B107" t="str">
            <v>001072023342</v>
          </cell>
          <cell r="C107" t="str">
            <v>tdhai@ktxhcm.edu.vn</v>
          </cell>
        </row>
        <row r="108">
          <cell r="A108" t="str">
            <v>Đặng Phi Hùng</v>
          </cell>
          <cell r="B108" t="str">
            <v>04209009618</v>
          </cell>
          <cell r="C108" t="str">
            <v>dphung@ktxhcm.edu.vn</v>
          </cell>
        </row>
        <row r="109">
          <cell r="A109" t="str">
            <v>Nguyễn Đặng Tú Oanh</v>
          </cell>
          <cell r="B109" t="str">
            <v>056301008881</v>
          </cell>
          <cell r="C109" t="str">
            <v>ndtoanh@ktxhcm.edu.vn</v>
          </cell>
        </row>
        <row r="110">
          <cell r="A110" t="str">
            <v>Phan Văn Thìn</v>
          </cell>
          <cell r="B110" t="str">
            <v>079200025724</v>
          </cell>
          <cell r="C110" t="str">
            <v>pvthin@ktxhcm.edu.vn</v>
          </cell>
        </row>
        <row r="111">
          <cell r="A111" t="str">
            <v>PHÒNG HẠ TẦNG</v>
          </cell>
        </row>
        <row r="112">
          <cell r="A112" t="str">
            <v>Hỏa Văn Minh</v>
          </cell>
          <cell r="B112" t="str">
            <v>038083024704</v>
          </cell>
          <cell r="C112" t="str">
            <v>hvminh@ktxhcm.edu.vn</v>
          </cell>
        </row>
        <row r="113">
          <cell r="A113" t="str">
            <v>Phạm Thanh Tú</v>
          </cell>
          <cell r="B113" t="str">
            <v>052082004133</v>
          </cell>
          <cell r="C113" t="str">
            <v>pttu@ktxhcm.edu.vn</v>
          </cell>
        </row>
        <row r="114">
          <cell r="A114" t="str">
            <v>Dương Văn Binh</v>
          </cell>
          <cell r="B114" t="str">
            <v>040066000338</v>
          </cell>
          <cell r="C114" t="str">
            <v>dvbinh@ktxhcm.edu.vn</v>
          </cell>
        </row>
        <row r="115">
          <cell r="A115" t="str">
            <v>Lương Đăng Hiếu</v>
          </cell>
          <cell r="B115" t="str">
            <v>056094006282</v>
          </cell>
          <cell r="C115" t="str">
            <v>ldhieu@ktxhcm.edu.vn</v>
          </cell>
        </row>
        <row r="116">
          <cell r="A116" t="str">
            <v>Cao Thị Minh Nhật</v>
          </cell>
          <cell r="B116" t="str">
            <v>051189012957</v>
          </cell>
          <cell r="C116" t="str">
            <v>ctmnhat@ktxhcm.edu.vn</v>
          </cell>
        </row>
        <row r="117">
          <cell r="A117" t="str">
            <v>Lê Phúc</v>
          </cell>
          <cell r="B117" t="str">
            <v>079096000915</v>
          </cell>
          <cell r="C117" t="str">
            <v>lphuc@ktxhcm.edu.vn</v>
          </cell>
        </row>
        <row r="118">
          <cell r="A118" t="str">
            <v>Nguyễn Thanh Thạch</v>
          </cell>
          <cell r="B118" t="str">
            <v>052092005574</v>
          </cell>
          <cell r="C118" t="str">
            <v>ntthach@ktxhcm.edu.vn</v>
          </cell>
        </row>
        <row r="119">
          <cell r="A119" t="str">
            <v xml:space="preserve">Thạch Rợn  </v>
          </cell>
          <cell r="B119" t="str">
            <v>084073006061</v>
          </cell>
          <cell r="C119" t="str">
            <v>tron@ktxhcm.edu.vn</v>
          </cell>
        </row>
        <row r="120">
          <cell r="A120" t="str">
            <v>Trần Bá Bẩy</v>
          </cell>
          <cell r="B120" t="str">
            <v>015068004225</v>
          </cell>
          <cell r="C120" t="str">
            <v>tbbay@ktxhcm.edu.vn</v>
          </cell>
        </row>
        <row r="121">
          <cell r="A121" t="str">
            <v>Vũ Thị Chinh</v>
          </cell>
          <cell r="B121" t="str">
            <v>037184012609</v>
          </cell>
          <cell r="C121" t="str">
            <v>vtchinh@ktxhcm.edu.vn</v>
          </cell>
        </row>
        <row r="122">
          <cell r="A122" t="str">
            <v>Mai Trúc Đào</v>
          </cell>
          <cell r="B122" t="str">
            <v>096302011766</v>
          </cell>
          <cell r="C122" t="str">
            <v>mtdao@ktxhcm.edu.vn</v>
          </cell>
        </row>
        <row r="123">
          <cell r="A123" t="str">
            <v>Trịnh Văn Định</v>
          </cell>
          <cell r="B123" t="str">
            <v>038074014334</v>
          </cell>
          <cell r="C123" t="str">
            <v>tvdinh@ktxhcm.edu.vn</v>
          </cell>
        </row>
        <row r="124">
          <cell r="A124" t="str">
            <v>Trần Thị Giàng</v>
          </cell>
          <cell r="B124" t="str">
            <v>084173010354</v>
          </cell>
          <cell r="C124" t="str">
            <v>ttgiang@ktxhcm.edu.vn</v>
          </cell>
        </row>
        <row r="125">
          <cell r="A125" t="str">
            <v>Nguyễn Huy Hải</v>
          </cell>
          <cell r="B125" t="str">
            <v xml:space="preserve">042084004624 </v>
          </cell>
          <cell r="C125" t="str">
            <v>nhhai@ktxhcm.edu.vn</v>
          </cell>
        </row>
        <row r="126">
          <cell r="A126" t="str">
            <v>Nguyễn Thị Tuyết Hằng</v>
          </cell>
          <cell r="B126" t="str">
            <v>080171008177</v>
          </cell>
          <cell r="C126" t="str">
            <v>ntthang@ktxhcm.edu.vn</v>
          </cell>
        </row>
        <row r="127">
          <cell r="A127" t="str">
            <v>Võ Thị Hằng</v>
          </cell>
          <cell r="B127" t="str">
            <v>079176026378</v>
          </cell>
          <cell r="C127" t="str">
            <v>vthang@ktxhcm.edu.vn</v>
          </cell>
        </row>
        <row r="128">
          <cell r="A128" t="str">
            <v>Bùi Thị Hạt</v>
          </cell>
          <cell r="B128" t="str">
            <v>034173003191</v>
          </cell>
          <cell r="C128" t="str">
            <v>bthat@ktxhcm.edu.vn</v>
          </cell>
        </row>
        <row r="129">
          <cell r="A129" t="str">
            <v>Võ Thị Hiền</v>
          </cell>
          <cell r="B129" t="str">
            <v xml:space="preserve">040189018098 </v>
          </cell>
          <cell r="C129" t="str">
            <v>vthien@ktxhcm.edu.vn</v>
          </cell>
        </row>
        <row r="130">
          <cell r="A130" t="str">
            <v>Hoàng Thị Là</v>
          </cell>
          <cell r="B130" t="str">
            <v>034186001354</v>
          </cell>
          <cell r="C130" t="str">
            <v>htla@ktxhcm.edu.vn</v>
          </cell>
        </row>
        <row r="131">
          <cell r="A131" t="str">
            <v>Nguyễn Văn Lâm</v>
          </cell>
          <cell r="B131" t="str">
            <v>093073007759</v>
          </cell>
          <cell r="C131" t="str">
            <v>nvlam@ktxhcm.edu.vn</v>
          </cell>
        </row>
        <row r="132">
          <cell r="A132" t="str">
            <v>Lê Đình Nghĩa</v>
          </cell>
          <cell r="B132" t="str">
            <v>038073011153</v>
          </cell>
          <cell r="C132" t="str">
            <v>ldnghia@ktxhcm.edu.vn</v>
          </cell>
        </row>
        <row r="133">
          <cell r="A133" t="str">
            <v>Nguyễn Thanh Ngọc</v>
          </cell>
          <cell r="B133" t="str">
            <v>042088013907</v>
          </cell>
          <cell r="C133" t="str">
            <v>ntngoc@ktxhcm.edu.vn</v>
          </cell>
        </row>
        <row r="134">
          <cell r="A134" t="str">
            <v>Phan Văn Nhất</v>
          </cell>
          <cell r="B134" t="str">
            <v>040071028917</v>
          </cell>
          <cell r="C134" t="str">
            <v>pvnhat@ktxhcm.edu.vn</v>
          </cell>
        </row>
        <row r="135">
          <cell r="A135" t="str">
            <v>Lê Thị Phan</v>
          </cell>
          <cell r="B135" t="str">
            <v xml:space="preserve">038173010757 </v>
          </cell>
          <cell r="C135" t="str">
            <v>ltphan@ktxhcm.edu.vn</v>
          </cell>
        </row>
        <row r="136">
          <cell r="A136" t="str">
            <v>Hoàng Mạnh Tài</v>
          </cell>
          <cell r="B136" t="str">
            <v>044092011913</v>
          </cell>
          <cell r="C136" t="str">
            <v>hmtai@ktxhcm.edu.vn</v>
          </cell>
        </row>
        <row r="137">
          <cell r="A137" t="str">
            <v>Dương Xuân Thành</v>
          </cell>
          <cell r="B137" t="str">
            <v>037076015646</v>
          </cell>
          <cell r="C137" t="str">
            <v>dxthanh@ktxhcm.edu.vn</v>
          </cell>
        </row>
        <row r="138">
          <cell r="A138" t="str">
            <v>Huỳnh Phan Nhật Thùy</v>
          </cell>
          <cell r="B138" t="str">
            <v>075196009285</v>
          </cell>
          <cell r="C138" t="str">
            <v>hpnthuy@ktxhcm.edu.vn</v>
          </cell>
        </row>
        <row r="139">
          <cell r="A139" t="str">
            <v>Nguyễn Thành Tiền</v>
          </cell>
          <cell r="B139" t="str">
            <v>074081008029</v>
          </cell>
          <cell r="C139" t="str">
            <v>nttien@ktxhcm.edu.vn</v>
          </cell>
        </row>
        <row r="140">
          <cell r="A140" t="str">
            <v>Đặng Thị Tuyết Trinh</v>
          </cell>
          <cell r="B140" t="str">
            <v>079174021759</v>
          </cell>
          <cell r="C140" t="str">
            <v>dtttrinh@ktxhcm.edu.vn</v>
          </cell>
        </row>
        <row r="141">
          <cell r="A141" t="str">
            <v>Lê Ngọc Phương</v>
          </cell>
          <cell r="B141" t="str">
            <v>038079031846</v>
          </cell>
          <cell r="C141" t="str">
            <v>lnphuong@ktxhcm.edu.vn</v>
          </cell>
        </row>
        <row r="142">
          <cell r="A142" t="str">
            <v>PHÒNG QUẢN TRỊ - THIẾT BỊ</v>
          </cell>
        </row>
        <row r="143">
          <cell r="A143" t="str">
            <v>Đặng Minh Tuấn</v>
          </cell>
          <cell r="B143" t="str">
            <v>027071000167</v>
          </cell>
          <cell r="C143" t="str">
            <v>dmtuan@vnuhcm.edu.vn</v>
          </cell>
        </row>
        <row r="144">
          <cell r="A144" t="str">
            <v>Đinh Công Minh</v>
          </cell>
          <cell r="B144" t="str">
            <v>001070000159</v>
          </cell>
          <cell r="C144" t="str">
            <v>dcminh@ktxhcm.edu.vn</v>
          </cell>
        </row>
        <row r="145">
          <cell r="A145" t="str">
            <v>Lê Thị Thanh Thúy</v>
          </cell>
          <cell r="B145" t="str">
            <v>045187001641</v>
          </cell>
          <cell r="C145" t="str">
            <v>lttthuy@ktxhcm.edu.vn</v>
          </cell>
        </row>
        <row r="146">
          <cell r="A146" t="str">
            <v>Nguyễn Khánh Hiệp</v>
          </cell>
          <cell r="B146" t="str">
            <v>079086027637</v>
          </cell>
          <cell r="C146" t="str">
            <v>nkhiep@ktxhcm.edu.vn</v>
          </cell>
        </row>
        <row r="147">
          <cell r="A147" t="str">
            <v>Lê Nhật Vũ</v>
          </cell>
          <cell r="B147" t="str">
            <v>049084001304</v>
          </cell>
          <cell r="C147" t="str">
            <v>lnvu@ktxhcm.edu.vn</v>
          </cell>
        </row>
        <row r="148">
          <cell r="A148" t="str">
            <v>Võ Ngọc Hải</v>
          </cell>
          <cell r="B148" t="str">
            <v>062083004110</v>
          </cell>
          <cell r="C148" t="str">
            <v>vnhai@ktxhcm.edu.vn</v>
          </cell>
        </row>
        <row r="149">
          <cell r="A149" t="str">
            <v>Nguyễn Long Hoàng</v>
          </cell>
          <cell r="B149" t="str">
            <v>079066028207</v>
          </cell>
          <cell r="C149" t="str">
            <v>nlhoang@ktxhcm.edu.vn</v>
          </cell>
        </row>
        <row r="150">
          <cell r="A150" t="str">
            <v>Phan Quốc Huynh</v>
          </cell>
          <cell r="B150" t="str">
            <v>006087002885</v>
          </cell>
          <cell r="C150" t="str">
            <v>pqhuynh@ktxhcm.edu.vn</v>
          </cell>
        </row>
        <row r="151">
          <cell r="A151" t="str">
            <v>Đoàn Quang Minh</v>
          </cell>
          <cell r="B151" t="str">
            <v>079099034585</v>
          </cell>
          <cell r="C151" t="str">
            <v>dqminh@ktxhcm.edu.vn</v>
          </cell>
        </row>
        <row r="152">
          <cell r="A152" t="str">
            <v>Ngô Hữu Nghị</v>
          </cell>
          <cell r="B152" t="str">
            <v>083099011956</v>
          </cell>
          <cell r="C152" t="str">
            <v>nhnghi@ktxhcm.edu.vn</v>
          </cell>
        </row>
        <row r="153">
          <cell r="A153" t="str">
            <v>Nguyễn Thị Như Nữ</v>
          </cell>
          <cell r="B153" t="str">
            <v>051193013179</v>
          </cell>
          <cell r="C153" t="str">
            <v>ntnnu@ktxhcm.edu.vn</v>
          </cell>
        </row>
        <row r="154">
          <cell r="A154" t="str">
            <v>Mạch Thị Oanh</v>
          </cell>
          <cell r="B154" t="str">
            <v>038195009097</v>
          </cell>
          <cell r="C154" t="str">
            <v>mtoanh@ktxhcm.edu.vn</v>
          </cell>
        </row>
        <row r="155">
          <cell r="A155" t="str">
            <v>Trương Văn Sang</v>
          </cell>
          <cell r="B155" t="str">
            <v>049093011992</v>
          </cell>
          <cell r="C155" t="str">
            <v>tvsang@ktxhcm.edu.vn</v>
          </cell>
        </row>
        <row r="156">
          <cell r="A156" t="str">
            <v>Nguyễn Đắc Toản</v>
          </cell>
          <cell r="B156" t="str">
            <v>030081013709</v>
          </cell>
          <cell r="C156" t="str">
            <v>ndtoan@ktxhcm.edu.vn</v>
          </cell>
        </row>
        <row r="157">
          <cell r="A157" t="str">
            <v>Nguyễn Công Bình</v>
          </cell>
          <cell r="B157" t="str">
            <v>056091011131</v>
          </cell>
          <cell r="C157" t="str">
            <v>ncbinh@ktxhcm.edu.vn</v>
          </cell>
        </row>
        <row r="158">
          <cell r="A158" t="str">
            <v>Nguyễn Chí Hải</v>
          </cell>
          <cell r="B158" t="str">
            <v>084096000111</v>
          </cell>
          <cell r="C158" t="str">
            <v>nchai@ktxhcm.edu.vn</v>
          </cell>
        </row>
        <row r="159">
          <cell r="A159" t="str">
            <v>Nguyễn Quốc Hải</v>
          </cell>
          <cell r="B159" t="str">
            <v>066092017620</v>
          </cell>
          <cell r="C159" t="str">
            <v>nqhai@ktxhcm.edu.vn</v>
          </cell>
        </row>
        <row r="160">
          <cell r="A160" t="str">
            <v>Trương Hoàng Ngân</v>
          </cell>
          <cell r="B160" t="str">
            <v>083199009430</v>
          </cell>
          <cell r="C160" t="str">
            <v>thngan@ktxhcm.edu.vn</v>
          </cell>
        </row>
        <row r="161">
          <cell r="A161" t="str">
            <v>Lê Minh Nhân</v>
          </cell>
          <cell r="B161" t="str">
            <v>082093009245</v>
          </cell>
          <cell r="C161" t="str">
            <v>lmnhan@ktxhcm.edu.vn</v>
          </cell>
        </row>
        <row r="162">
          <cell r="A162" t="str">
            <v>Nguyễn Ngọc Thành</v>
          </cell>
          <cell r="B162" t="str">
            <v>038087024492</v>
          </cell>
          <cell r="C162" t="str">
            <v>nnthanh@ktxhcm.edu.vn</v>
          </cell>
        </row>
        <row r="163">
          <cell r="A163" t="str">
            <v>Hàn Văn Thi</v>
          </cell>
          <cell r="B163" t="str">
            <v>038085006756</v>
          </cell>
          <cell r="C163" t="str">
            <v>hvthi@ktxhcm.edu.vn</v>
          </cell>
        </row>
        <row r="164">
          <cell r="A164" t="str">
            <v>Lưu Viết Tấn</v>
          </cell>
          <cell r="B164" t="str">
            <v>031065009509</v>
          </cell>
        </row>
        <row r="165">
          <cell r="A165" t="str">
            <v>PHÒNG CHĂM SÓC SỨC KHỎE</v>
          </cell>
        </row>
        <row r="166">
          <cell r="A166" t="str">
            <v>Nguyễn Thị Trọng</v>
          </cell>
          <cell r="B166" t="str">
            <v>068180007380</v>
          </cell>
          <cell r="C166" t="str">
            <v>nttrong@ktxhcm.edu.vn</v>
          </cell>
        </row>
        <row r="167">
          <cell r="A167" t="str">
            <v>Trần Thị Xuân</v>
          </cell>
          <cell r="B167" t="str">
            <v>040182019239</v>
          </cell>
          <cell r="C167" t="str">
            <v>ttxuan@ktxhcm.edu.vn</v>
          </cell>
        </row>
        <row r="168">
          <cell r="A168" t="str">
            <v>Đinh Huỳnh Đức</v>
          </cell>
          <cell r="B168" t="str">
            <v>040099019824</v>
          </cell>
          <cell r="C168" t="str">
            <v>dhduc@ktxhcm.edu.vn</v>
          </cell>
        </row>
        <row r="169">
          <cell r="A169" t="str">
            <v>Nguyễn Văn Khá</v>
          </cell>
          <cell r="B169" t="str">
            <v>034083022201</v>
          </cell>
          <cell r="C169" t="str">
            <v>nvkha@ktxhcm.edu.vn</v>
          </cell>
        </row>
        <row r="170">
          <cell r="A170" t="str">
            <v>Hoàng Thế Mạnh</v>
          </cell>
          <cell r="B170" t="str">
            <v>033087003449</v>
          </cell>
          <cell r="C170" t="str">
            <v>htmanh@ktxhcm.edu.vn</v>
          </cell>
        </row>
        <row r="171">
          <cell r="A171" t="str">
            <v>Hoàng Thị Sang</v>
          </cell>
          <cell r="B171" t="str">
            <v>001183056529</v>
          </cell>
          <cell r="C171" t="str">
            <v>htsang@ktxhcm.edu.vn</v>
          </cell>
        </row>
        <row r="172">
          <cell r="A172" t="str">
            <v>Tăng Thị Xuyến</v>
          </cell>
          <cell r="B172" t="str">
            <v>040179014948</v>
          </cell>
          <cell r="C172" t="str">
            <v>ttxuyen@ktxhcm.edu.vn</v>
          </cell>
        </row>
        <row r="173">
          <cell r="A173" t="str">
            <v>Nguyễn Văn An</v>
          </cell>
          <cell r="B173" t="str">
            <v>015093009761</v>
          </cell>
          <cell r="C173" t="str">
            <v>nvan@ktxhcm.edu.vn</v>
          </cell>
        </row>
        <row r="174">
          <cell r="A174" t="str">
            <v>Phan Văn Giang</v>
          </cell>
          <cell r="B174" t="str">
            <v>040079004027</v>
          </cell>
          <cell r="C174" t="str">
            <v>pvgiang@ktxhcm.edu.vn</v>
          </cell>
        </row>
        <row r="175">
          <cell r="A175" t="str">
            <v>Nguyễn Viết Nam</v>
          </cell>
          <cell r="B175" t="str">
            <v>033079015004</v>
          </cell>
          <cell r="C175" t="str">
            <v>namnv@ktxhcm.edu.vn</v>
          </cell>
        </row>
        <row r="176">
          <cell r="A176" t="str">
            <v>Nguyễn Thị Tâm</v>
          </cell>
          <cell r="B176" t="str">
            <v>042185016648</v>
          </cell>
          <cell r="C176" t="str">
            <v>nttam@ktxhcm.edu.vn</v>
          </cell>
        </row>
        <row r="177">
          <cell r="A177" t="str">
            <v>Nguyễn Đình Tiến</v>
          </cell>
          <cell r="B177" t="str">
            <v>038089053638</v>
          </cell>
          <cell r="C177" t="str">
            <v>ndtien@ktxhcm.edu.vn</v>
          </cell>
        </row>
        <row r="178">
          <cell r="A178" t="str">
            <v>Lê Thị Thùy Trang</v>
          </cell>
          <cell r="B178" t="str">
            <v>046197007730</v>
          </cell>
          <cell r="C178" t="str">
            <v>ltthuytrang@ktxhcm.edu.vn</v>
          </cell>
        </row>
        <row r="179">
          <cell r="A179" t="str">
            <v>BAN QUẢN LÝ CỤM NHÀ A.G</v>
          </cell>
        </row>
        <row r="180">
          <cell r="A180" t="str">
            <v>Lê Thị Thanh An</v>
          </cell>
          <cell r="B180" t="str">
            <v>038183049921</v>
          </cell>
          <cell r="C180" t="str">
            <v>lttan@ktxhcm.edu.vn</v>
          </cell>
        </row>
        <row r="181">
          <cell r="A181" t="str">
            <v>Nguyễn Quang Luật</v>
          </cell>
          <cell r="B181" t="str">
            <v>083090012439</v>
          </cell>
          <cell r="C181" t="str">
            <v>nqluat@ktxhcm.edu.vn</v>
          </cell>
        </row>
        <row r="182">
          <cell r="A182" t="str">
            <v>Đỗ Thị Huyền Thu</v>
          </cell>
          <cell r="B182" t="str">
            <v>074190001352</v>
          </cell>
          <cell r="C182" t="str">
            <v>dththu@ktxhcm.edu.vn</v>
          </cell>
        </row>
        <row r="183">
          <cell r="A183" t="str">
            <v>Trương Thị Hoài</v>
          </cell>
          <cell r="B183" t="str">
            <v>038195006599</v>
          </cell>
          <cell r="C183" t="str">
            <v>tthoai@ktxhcm.edu.vn</v>
          </cell>
        </row>
        <row r="184">
          <cell r="A184" t="str">
            <v>Đỗ Sơn Khánh</v>
          </cell>
          <cell r="B184" t="str">
            <v>060079015365</v>
          </cell>
          <cell r="C184" t="str">
            <v>dskhanh@ktxhcm.edu.vn</v>
          </cell>
        </row>
        <row r="185">
          <cell r="A185" t="str">
            <v>Trần Hữu Lâm</v>
          </cell>
          <cell r="B185" t="str">
            <v>074080005785</v>
          </cell>
          <cell r="C185" t="str">
            <v>thlam@ktxhcm.edu.vn</v>
          </cell>
        </row>
        <row r="186">
          <cell r="A186" t="str">
            <v>Hoàng Văn Tình</v>
          </cell>
          <cell r="B186" t="str">
            <v>066087003159</v>
          </cell>
          <cell r="C186" t="str">
            <v>hvtinh@ktxhcm.edu.vn</v>
          </cell>
        </row>
        <row r="187">
          <cell r="A187" t="str">
            <v>Trần Thị Thanh Xuân</v>
          </cell>
          <cell r="B187" t="str">
            <v>046199001297</v>
          </cell>
          <cell r="C187" t="str">
            <v>tttxuan@ktxhcm.edu.vn</v>
          </cell>
        </row>
        <row r="188">
          <cell r="A188" t="str">
            <v>Đỗ Văn Hăng</v>
          </cell>
          <cell r="B188" t="str">
            <v>038066026871</v>
          </cell>
          <cell r="C188" t="str">
            <v>dvhang@ktxhcm.edu.vn</v>
          </cell>
        </row>
        <row r="189">
          <cell r="A189" t="str">
            <v>Nguyễn Trần Hồng Hoa</v>
          </cell>
          <cell r="B189" t="str">
            <v>079196011551</v>
          </cell>
          <cell r="C189" t="str">
            <v>nthhoa@ktxhcm.edu.vn</v>
          </cell>
        </row>
        <row r="190">
          <cell r="A190" t="str">
            <v>Nguyễn Thị Kiều My</v>
          </cell>
          <cell r="B190" t="str">
            <v>049195012354</v>
          </cell>
          <cell r="C190" t="str">
            <v>ntkmy@ktxhcm.edu.vn</v>
          </cell>
        </row>
        <row r="191">
          <cell r="A191" t="str">
            <v>Bùi Văn Phúc</v>
          </cell>
          <cell r="B191" t="str">
            <v>017097002860</v>
          </cell>
          <cell r="C191" t="str">
            <v>bvphuc@ktxhcm.edu.vn</v>
          </cell>
        </row>
        <row r="192">
          <cell r="A192" t="str">
            <v>Nguyễn Thị Tho</v>
          </cell>
          <cell r="B192" t="str">
            <v>091182020891</v>
          </cell>
          <cell r="C192" t="str">
            <v>nttho@ktxhcm.edu.vn</v>
          </cell>
        </row>
        <row r="193">
          <cell r="A193" t="str">
            <v>Nguyễn Thị Kim Thương</v>
          </cell>
          <cell r="B193" t="str">
            <v>062190000437</v>
          </cell>
          <cell r="C193" t="str">
            <v>ntkthuong@ktxhcm.edu.vn</v>
          </cell>
        </row>
        <row r="194">
          <cell r="A194" t="str">
            <v>Nghiêm Văn Chiến</v>
          </cell>
          <cell r="B194" t="str">
            <v>038067007731</v>
          </cell>
          <cell r="C194" t="str">
            <v>nvchien@ktxhcm.edu.vn</v>
          </cell>
        </row>
        <row r="195">
          <cell r="A195" t="str">
            <v>Vũ Văn Tài</v>
          </cell>
          <cell r="B195" t="str">
            <v>030082022846</v>
          </cell>
          <cell r="C195" t="str">
            <v>vvtai@ktxhcm.edu.vn</v>
          </cell>
        </row>
        <row r="196">
          <cell r="A196" t="str">
            <v>Lã Thị Thân</v>
          </cell>
          <cell r="B196" t="str">
            <v>035172007099</v>
          </cell>
        </row>
        <row r="197">
          <cell r="A197" t="str">
            <v>Nguyễn Hữu Thủy</v>
          </cell>
          <cell r="B197" t="str">
            <v>038071023484</v>
          </cell>
          <cell r="C197" t="str">
            <v>nhthuy@ktxhcm.edu.vn</v>
          </cell>
        </row>
        <row r="198">
          <cell r="A198" t="str">
            <v>BAN QUẢN LÝ CỤM NHÀ A.H</v>
          </cell>
        </row>
        <row r="199">
          <cell r="A199" t="str">
            <v>Hoàng Văn Cường</v>
          </cell>
          <cell r="B199" t="str">
            <v>038085044588</v>
          </cell>
          <cell r="C199" t="str">
            <v>hvcuong@ktxhcm.edu.vn</v>
          </cell>
        </row>
        <row r="200">
          <cell r="A200" t="str">
            <v>Hoàng Thị Nguyệt</v>
          </cell>
          <cell r="B200" t="str">
            <v>038181035670</v>
          </cell>
          <cell r="C200" t="str">
            <v>htnguyet@ktxhcm.edu.vn</v>
          </cell>
        </row>
        <row r="201">
          <cell r="A201" t="str">
            <v>Thái Dương</v>
          </cell>
          <cell r="B201" t="str">
            <v>042087005379</v>
          </cell>
          <cell r="C201" t="str">
            <v>tduong@ktxhcm.edu.vn</v>
          </cell>
        </row>
        <row r="202">
          <cell r="A202" t="str">
            <v>Hoàng Văn Tuấn</v>
          </cell>
          <cell r="B202" t="str">
            <v>038093006966</v>
          </cell>
          <cell r="C202" t="str">
            <v>hvtuan@ktxhcm.edu.vn</v>
          </cell>
        </row>
        <row r="203">
          <cell r="A203" t="str">
            <v>Cao Thị Tươi</v>
          </cell>
          <cell r="B203" t="str">
            <v>036190024114</v>
          </cell>
          <cell r="C203" t="str">
            <v>cttuoi@ktxhcm.edu.vn</v>
          </cell>
        </row>
        <row r="204">
          <cell r="A204" t="str">
            <v>Lê Nho Anh</v>
          </cell>
          <cell r="B204" t="str">
            <v>074089001604</v>
          </cell>
          <cell r="C204" t="str">
            <v>lnanh@ktxhcm.edu.vn</v>
          </cell>
        </row>
        <row r="205">
          <cell r="A205" t="str">
            <v>Trịnh Quốc Bộ</v>
          </cell>
          <cell r="B205" t="str">
            <v>038069025377</v>
          </cell>
          <cell r="C205" t="str">
            <v>tqbo@ktxhcm.edu.vn</v>
          </cell>
        </row>
        <row r="206">
          <cell r="A206" t="str">
            <v>Nguyễn Chí Nhân</v>
          </cell>
          <cell r="B206" t="str">
            <v>051073018091</v>
          </cell>
          <cell r="C206" t="str">
            <v>ncnhan@ktxhcm.edu.vn</v>
          </cell>
        </row>
        <row r="207">
          <cell r="A207" t="str">
            <v>Đinh Thị Thúy Vân</v>
          </cell>
          <cell r="B207" t="str">
            <v>038192050691</v>
          </cell>
          <cell r="C207" t="str">
            <v>dttvan@ktxhcm.edu.vn</v>
          </cell>
        </row>
        <row r="208">
          <cell r="A208" t="str">
            <v>Nguyễn Phú Vinh</v>
          </cell>
          <cell r="B208" t="str">
            <v>058066003991</v>
          </cell>
          <cell r="C208" t="str">
            <v>npvinh@ktxhcm.edu.vn</v>
          </cell>
        </row>
        <row r="209">
          <cell r="A209" t="str">
            <v>BAN QUẢN LÝ CỤM NHÀ B.A</v>
          </cell>
        </row>
        <row r="210">
          <cell r="A210" t="str">
            <v>Nguyễn Công Trinh</v>
          </cell>
          <cell r="B210" t="str">
            <v>046087019407</v>
          </cell>
          <cell r="C210" t="str">
            <v>nctrinh@ktxhcm.edu.vn</v>
          </cell>
        </row>
        <row r="211">
          <cell r="A211" t="str">
            <v>Đinh Thị Lan Anh</v>
          </cell>
          <cell r="B211" t="str">
            <v>048183007442</v>
          </cell>
          <cell r="C211" t="str">
            <v>dtlanh@ktxhcm.edu.vn</v>
          </cell>
        </row>
        <row r="212">
          <cell r="A212" t="str">
            <v>Nguyễn Văn Dũng</v>
          </cell>
          <cell r="B212" t="str">
            <v>025083013328</v>
          </cell>
          <cell r="C212" t="str">
            <v>nvdung@ktxhcm.edu.vn</v>
          </cell>
        </row>
        <row r="213">
          <cell r="A213" t="str">
            <v>Phạm Anh Duy</v>
          </cell>
          <cell r="B213" t="str">
            <v>082091000195</v>
          </cell>
          <cell r="C213" t="str">
            <v>paduy@ktxhcm.edu.vn</v>
          </cell>
        </row>
        <row r="214">
          <cell r="A214" t="str">
            <v>Nguyễn Thị Hương</v>
          </cell>
          <cell r="B214" t="str">
            <v>038189036324</v>
          </cell>
          <cell r="C214" t="str">
            <v>nthuong@ktxhcm.edu.vn</v>
          </cell>
        </row>
        <row r="215">
          <cell r="A215" t="str">
            <v>Nguyễn Thị Huyền</v>
          </cell>
          <cell r="B215" t="str">
            <v>006187001129</v>
          </cell>
          <cell r="C215" t="str">
            <v>nthuyen@ktxhcm.edu.vn</v>
          </cell>
        </row>
        <row r="216">
          <cell r="A216" t="str">
            <v>Nguyễn Tấn Phước</v>
          </cell>
          <cell r="B216" t="str">
            <v>074086006518</v>
          </cell>
          <cell r="C216" t="str">
            <v>ntphuoc@ktxhcm.edu.vn</v>
          </cell>
        </row>
        <row r="217">
          <cell r="A217" t="str">
            <v>Lê Thị Thủy</v>
          </cell>
          <cell r="B217" t="str">
            <v>038187030707</v>
          </cell>
          <cell r="C217" t="str">
            <v>ltthuy@ktxhcm.edu.vn</v>
          </cell>
        </row>
        <row r="218">
          <cell r="A218" t="str">
            <v>Trần Đình Tiến</v>
          </cell>
          <cell r="B218" t="str">
            <v>038090004746</v>
          </cell>
          <cell r="C218" t="str">
            <v>tdtien@ktxhcm.edu.vn</v>
          </cell>
        </row>
        <row r="219">
          <cell r="A219" t="str">
            <v>Phan Xuân Truyện</v>
          </cell>
          <cell r="B219" t="str">
            <v>045083001473</v>
          </cell>
          <cell r="C219" t="str">
            <v>pxtruyen@ktxhcm.edu.vn</v>
          </cell>
        </row>
        <row r="220">
          <cell r="A220" t="str">
            <v>Trần Văn Đạo</v>
          </cell>
          <cell r="B220" t="str">
            <v>040092023599</v>
          </cell>
          <cell r="C220" t="str">
            <v>tvdao@ktxhcm.edu.vn</v>
          </cell>
        </row>
        <row r="221">
          <cell r="A221" t="str">
            <v>BAN QUẢN LÝ CỤM NHÀ B.B</v>
          </cell>
        </row>
        <row r="222">
          <cell r="A222" t="str">
            <v>Lê Văn Phúc</v>
          </cell>
          <cell r="B222" t="str">
            <v>052081016886</v>
          </cell>
          <cell r="C222" t="str">
            <v>lvphuc@ktxhcm.edu.vn</v>
          </cell>
        </row>
        <row r="223">
          <cell r="A223" t="str">
            <v>Trần Văn Nhực</v>
          </cell>
          <cell r="B223" t="str">
            <v>049093015831</v>
          </cell>
          <cell r="C223" t="str">
            <v>tvnhuc@ktxhcm.edu.vn</v>
          </cell>
        </row>
        <row r="224">
          <cell r="A224" t="str">
            <v>Trần Phạm Kim Dung</v>
          </cell>
          <cell r="B224" t="str">
            <v>038187034586</v>
          </cell>
          <cell r="C224" t="str">
            <v>tpkdung@ktxhcm.edu.vn</v>
          </cell>
        </row>
        <row r="225">
          <cell r="A225" t="str">
            <v>Hứa Tấn Liệt</v>
          </cell>
          <cell r="B225" t="str">
            <v>091079005838</v>
          </cell>
          <cell r="C225" t="str">
            <v>htliet@ktxhcm.edu.vn</v>
          </cell>
        </row>
        <row r="226">
          <cell r="A226" t="str">
            <v>Nguyễn Văn Minh</v>
          </cell>
          <cell r="B226" t="str">
            <v>025085011974</v>
          </cell>
          <cell r="C226" t="str">
            <v>nvminh@ktxhcm.edu.vn</v>
          </cell>
        </row>
        <row r="227">
          <cell r="A227" t="str">
            <v>Nguyễn Thị Vân</v>
          </cell>
          <cell r="B227" t="str">
            <v>038191021461</v>
          </cell>
          <cell r="C227" t="str">
            <v>ntvan@ktxhcm.edu.vn</v>
          </cell>
        </row>
        <row r="228">
          <cell r="A228" t="str">
            <v>Nguyễn Thị Châu</v>
          </cell>
          <cell r="B228" t="str">
            <v>040300019540</v>
          </cell>
          <cell r="C228" t="str">
            <v>ntchau@ktxhcm.edu.vn</v>
          </cell>
        </row>
        <row r="229">
          <cell r="A229" t="str">
            <v>Bùi Phương Nam</v>
          </cell>
          <cell r="B229" t="str">
            <v>074097006359</v>
          </cell>
          <cell r="C229" t="str">
            <v>bpnam@ktxhcm.edu.vn</v>
          </cell>
        </row>
        <row r="230">
          <cell r="A230" t="str">
            <v>Phạm Xuân Trường</v>
          </cell>
          <cell r="B230" t="str">
            <v>035071001506</v>
          </cell>
          <cell r="C230" t="str">
            <v>pxtruong@ktxhcm.edu.vn</v>
          </cell>
        </row>
        <row r="231">
          <cell r="A231" t="str">
            <v>Lê Văn Tuyến</v>
          </cell>
          <cell r="B231" t="str">
            <v>038092007043</v>
          </cell>
          <cell r="C231" t="str">
            <v>lvtuyen@ktxhcm.edu.vn</v>
          </cell>
        </row>
        <row r="232">
          <cell r="A232" t="str">
            <v>Phạm Ngọc Nam</v>
          </cell>
          <cell r="B232" t="str">
            <v>074073007502</v>
          </cell>
        </row>
        <row r="233">
          <cell r="A233" t="str">
            <v>BAN QUẢN LÝ CỤM NHÀ B.C</v>
          </cell>
        </row>
        <row r="234">
          <cell r="A234" t="str">
            <v>Nguyễn Thị Thu Trang</v>
          </cell>
          <cell r="B234" t="str">
            <v>086175000384</v>
          </cell>
          <cell r="C234" t="str">
            <v>ntttrang@ktxhcm.edu.vn</v>
          </cell>
        </row>
        <row r="235">
          <cell r="A235" t="str">
            <v>Trần Văn Chuyền</v>
          </cell>
          <cell r="B235" t="str">
            <v>046082030636</v>
          </cell>
          <cell r="C235" t="str">
            <v>tvchuyen@ktxhcm.edu.vn</v>
          </cell>
        </row>
        <row r="236">
          <cell r="A236" t="str">
            <v>Trần Hà Ân</v>
          </cell>
          <cell r="B236" t="str">
            <v>079087032453</v>
          </cell>
          <cell r="C236" t="str">
            <v>than@ktxhcm.edu.vn</v>
          </cell>
        </row>
        <row r="237">
          <cell r="A237" t="str">
            <v>Lê Thị Ngọc Dung</v>
          </cell>
          <cell r="B237" t="str">
            <v>086179003165</v>
          </cell>
          <cell r="C237" t="str">
            <v>ltndung@ktxhcm.edu.vn</v>
          </cell>
        </row>
        <row r="238">
          <cell r="A238" t="str">
            <v>Lê Văn Nam</v>
          </cell>
          <cell r="B238" t="str">
            <v>038088008045</v>
          </cell>
          <cell r="C238" t="str">
            <v>lvnam@ktxhcm.edu.vn</v>
          </cell>
        </row>
        <row r="239">
          <cell r="A239" t="str">
            <v>Nguyễn Văn Sang</v>
          </cell>
          <cell r="B239" t="str">
            <v>087083000158</v>
          </cell>
          <cell r="C239" t="str">
            <v>nvsang@ktxhcm.edu.vn</v>
          </cell>
        </row>
        <row r="240">
          <cell r="A240" t="str">
            <v>Trương Quang Thanh</v>
          </cell>
          <cell r="B240" t="str">
            <v>038070008555</v>
          </cell>
          <cell r="C240" t="str">
            <v>tqthanh@ktxhcm.edu.vn</v>
          </cell>
        </row>
        <row r="241">
          <cell r="A241" t="str">
            <v>Trần Thị Thơ Thơ</v>
          </cell>
          <cell r="B241" t="str">
            <v>037190015583</v>
          </cell>
          <cell r="C241" t="str">
            <v>ttttho@ktxhcm.edu.vn</v>
          </cell>
        </row>
        <row r="242">
          <cell r="A242" t="str">
            <v>Nguyễn Đức Chuyên</v>
          </cell>
          <cell r="B242" t="str">
            <v>015073012028</v>
          </cell>
          <cell r="C242" t="str">
            <v>ndchuyen@ktxhcm.edu.vn</v>
          </cell>
        </row>
        <row r="243">
          <cell r="A243" t="str">
            <v>Hoàng Liên Sơn</v>
          </cell>
          <cell r="B243" t="str">
            <v>042085020811</v>
          </cell>
          <cell r="C243" t="str">
            <v>hlson@ktxhcm.edu.vn</v>
          </cell>
        </row>
        <row r="244">
          <cell r="A244" t="str">
            <v>Nguyễn Văn Giào</v>
          </cell>
          <cell r="B244" t="str">
            <v>086084001592</v>
          </cell>
          <cell r="C244" t="str">
            <v>nvgiao@ktxhcm.edu.vn</v>
          </cell>
        </row>
        <row r="245">
          <cell r="A245" t="str">
            <v>BAN QUẢN LÝ CỤM NHÀ B.D</v>
          </cell>
        </row>
        <row r="246">
          <cell r="A246" t="str">
            <v>Nguyễn Văn Trung</v>
          </cell>
          <cell r="B246" t="str">
            <v>040065002904</v>
          </cell>
          <cell r="C246" t="str">
            <v>nvtrung@ktxhcm.edu.vn</v>
          </cell>
        </row>
        <row r="247">
          <cell r="A247" t="str">
            <v>Nguyễn Văn Nam</v>
          </cell>
          <cell r="B247" t="str">
            <v>034078012280</v>
          </cell>
          <cell r="C247" t="str">
            <v>nvnam@ktxhcm.edu.vn</v>
          </cell>
        </row>
        <row r="248">
          <cell r="A248" t="str">
            <v>Lê Thị Mỹ Hạnh</v>
          </cell>
          <cell r="B248" t="str">
            <v>042178000450</v>
          </cell>
          <cell r="C248" t="str">
            <v>ltmhanh@ktxhcm.edu.vn</v>
          </cell>
        </row>
        <row r="249">
          <cell r="A249" t="str">
            <v>Hồ Xuân Kỷ</v>
          </cell>
          <cell r="B249" t="str">
            <v>040089015077</v>
          </cell>
          <cell r="C249" t="str">
            <v>hxky@ktxhcm.edu.vn</v>
          </cell>
        </row>
        <row r="250">
          <cell r="A250" t="str">
            <v>Phạm Văn Phong</v>
          </cell>
          <cell r="B250" t="str">
            <v>034086007258</v>
          </cell>
          <cell r="C250" t="str">
            <v>pvphong@ktxhcm.edu.vn</v>
          </cell>
        </row>
        <row r="251">
          <cell r="A251" t="str">
            <v>Nguyễn Đình Đức</v>
          </cell>
          <cell r="B251" t="str">
            <v>079095024301</v>
          </cell>
          <cell r="C251" t="str">
            <v>ndduc@ktxhcm.edu.vn</v>
          </cell>
        </row>
        <row r="252">
          <cell r="A252" t="str">
            <v>Hồ Cao Thông</v>
          </cell>
          <cell r="B252" t="str">
            <v>051089000303</v>
          </cell>
          <cell r="C252" t="str">
            <v>hcthong@ktxhcm.edu.vn</v>
          </cell>
        </row>
        <row r="253">
          <cell r="A253" t="str">
            <v>Đỗ Thị Trang</v>
          </cell>
          <cell r="B253" t="str">
            <v>038192032078</v>
          </cell>
          <cell r="C253" t="str">
            <v>dttrang@ktxhcm.edu.vn</v>
          </cell>
        </row>
        <row r="254">
          <cell r="A254" t="str">
            <v>Đào Quốc Tuyến</v>
          </cell>
          <cell r="B254" t="str">
            <v>075076002333</v>
          </cell>
          <cell r="C254" t="str">
            <v>dqtuyen@ktxhcm.edu.vn</v>
          </cell>
        </row>
        <row r="255">
          <cell r="A255" t="str">
            <v>Vũ Văn Vĩnh</v>
          </cell>
          <cell r="B255" t="str">
            <v>036071005210</v>
          </cell>
          <cell r="C255" t="str">
            <v>vvvinh@ktxhcm.edu.vn</v>
          </cell>
        </row>
        <row r="256">
          <cell r="A256" t="str">
            <v>BAN QUẢN LÝ CỤM NHÀ B.E</v>
          </cell>
        </row>
        <row r="257">
          <cell r="A257" t="str">
            <v>Lê Minh Thảo</v>
          </cell>
          <cell r="B257" t="str">
            <v>079077032298</v>
          </cell>
          <cell r="C257" t="str">
            <v>lmthao@ktxhcm.edu.vn</v>
          </cell>
        </row>
        <row r="258">
          <cell r="A258" t="str">
            <v>Trần Thị Yến</v>
          </cell>
          <cell r="B258" t="str">
            <v>025183019868</v>
          </cell>
          <cell r="C258" t="str">
            <v>ttyen@ktxhcm.edu.vn</v>
          </cell>
        </row>
        <row r="259">
          <cell r="A259" t="str">
            <v>Nguyễn Tấn Điệp</v>
          </cell>
          <cell r="B259" t="str">
            <v>052081017316</v>
          </cell>
          <cell r="C259" t="str">
            <v>ntdiep@ktxhcm.edu.vn</v>
          </cell>
        </row>
        <row r="260">
          <cell r="A260" t="str">
            <v>Trịnh Văn Giang</v>
          </cell>
          <cell r="B260" t="str">
            <v>038081005289</v>
          </cell>
          <cell r="C260" t="str">
            <v>tvgiang@ktxhcm.edu.vn</v>
          </cell>
        </row>
        <row r="261">
          <cell r="A261" t="str">
            <v>Cao Thị Hoa</v>
          </cell>
          <cell r="B261" t="str">
            <v>034194019429</v>
          </cell>
          <cell r="C261" t="str">
            <v>cthoa@ktxhcm.edu.vn</v>
          </cell>
        </row>
        <row r="262">
          <cell r="A262" t="str">
            <v>Nông Thị Linh</v>
          </cell>
          <cell r="B262" t="str">
            <v>075198010931</v>
          </cell>
          <cell r="C262" t="str">
            <v>ntlinh@ktxhcm.edu.vn</v>
          </cell>
        </row>
        <row r="263">
          <cell r="A263" t="str">
            <v>Trần Thị Quỳnh Nga</v>
          </cell>
          <cell r="B263" t="str">
            <v>046197012735</v>
          </cell>
          <cell r="C263" t="str">
            <v>ttqnga@ktxhcm.edu.vn</v>
          </cell>
        </row>
        <row r="264">
          <cell r="A264" t="str">
            <v>Trần Tiến</v>
          </cell>
          <cell r="B264" t="str">
            <v>079087028591</v>
          </cell>
          <cell r="C264" t="str">
            <v>ttien@ktxhcm.edu.vn</v>
          </cell>
        </row>
        <row r="265">
          <cell r="A265" t="str">
            <v>Lê Thị Thùy Trang</v>
          </cell>
          <cell r="B265" t="str">
            <v>044186000475</v>
          </cell>
          <cell r="C265" t="str">
            <v>ltttrang@ktxhcm.edu.vn</v>
          </cell>
        </row>
        <row r="266">
          <cell r="A266" t="str">
            <v>Đoàn Văn Hoan</v>
          </cell>
          <cell r="B266" t="str">
            <v>030082003746</v>
          </cell>
          <cell r="C266" t="str">
            <v>dvhoan@ktxhcm.edu.vn</v>
          </cell>
        </row>
        <row r="267">
          <cell r="A267" t="str">
            <v>Võ Thị Như Muội</v>
          </cell>
          <cell r="B267" t="str">
            <v>083300006806</v>
          </cell>
        </row>
        <row r="268">
          <cell r="A268" t="str">
            <v>Đặng Duy Thiện</v>
          </cell>
          <cell r="B268" t="str">
            <v>030066005058</v>
          </cell>
          <cell r="C268" t="str">
            <v>ddthien@ktxhcm.edu.vn</v>
          </cell>
        </row>
        <row r="269">
          <cell r="A269" t="str">
            <v>Bùi Văn Dũng</v>
          </cell>
          <cell r="B269" t="str">
            <v>079070028766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tthuy@ktxhcm.edu.vn" TargetMode="External"/><Relationship Id="rId2" Type="http://schemas.openxmlformats.org/officeDocument/2006/relationships/hyperlink" Target="mailto:nhlan@ktxhcm.edu.vn" TargetMode="External"/><Relationship Id="rId1" Type="http://schemas.openxmlformats.org/officeDocument/2006/relationships/hyperlink" Target="mailto:vtnmuoi@ktxhcm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04A9-F453-47CC-9E40-75D2A952F531}">
  <dimension ref="A1:H144"/>
  <sheetViews>
    <sheetView tabSelected="1" workbookViewId="0">
      <selection activeCell="L11" sqref="L11"/>
    </sheetView>
  </sheetViews>
  <sheetFormatPr defaultRowHeight="16.5" x14ac:dyDescent="0.25"/>
  <cols>
    <col min="1" max="1" width="16.28515625" style="25" customWidth="1"/>
    <col min="2" max="2" width="14.85546875" style="25" customWidth="1"/>
    <col min="3" max="3" width="25.28515625" style="16" customWidth="1"/>
    <col min="4" max="4" width="23.42578125" style="25" customWidth="1"/>
    <col min="5" max="5" width="33.5703125" style="26" customWidth="1"/>
    <col min="6" max="6" width="30.140625" style="25" customWidth="1"/>
    <col min="7" max="7" width="15.85546875" style="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7" t="s">
        <v>313</v>
      </c>
    </row>
    <row r="2" spans="1:8" x14ac:dyDescent="0.25">
      <c r="A2" s="3">
        <v>1</v>
      </c>
      <c r="B2" s="4" t="s">
        <v>6</v>
      </c>
      <c r="C2" s="5" t="s">
        <v>7</v>
      </c>
      <c r="D2" s="3" t="str">
        <f>VLOOKUP(C2,[1]Sheet1!$A$4:$C$269,2,0)</f>
        <v>052074003255</v>
      </c>
      <c r="E2" s="6" t="str">
        <f>+VLOOKUP(C2,[1]Sheet1!$A$4:$C$269,3,0)</f>
        <v>ththuy@vnuhcm.edu.vn</v>
      </c>
      <c r="F2" s="7" t="s">
        <v>8</v>
      </c>
      <c r="G2" s="25" t="s">
        <v>315</v>
      </c>
      <c r="H2" t="str">
        <f>A2&amp;".jpeg"</f>
        <v>1.jpeg</v>
      </c>
    </row>
    <row r="3" spans="1:8" x14ac:dyDescent="0.25">
      <c r="A3" s="8">
        <v>2</v>
      </c>
      <c r="B3" s="9" t="s">
        <v>9</v>
      </c>
      <c r="C3" s="10" t="s">
        <v>10</v>
      </c>
      <c r="D3" s="3" t="str">
        <f>VLOOKUP(C3,[1]Sheet1!$A$4:$C$269,2,0)</f>
        <v>034177018959</v>
      </c>
      <c r="E3" s="6" t="str">
        <f>+VLOOKUP(C3,[1]Sheet1!$A$4:$C$269,3,0)</f>
        <v>huonglan@vnuhcm.edu.vn</v>
      </c>
      <c r="F3" s="7" t="s">
        <v>8</v>
      </c>
      <c r="G3" s="25" t="s">
        <v>316</v>
      </c>
      <c r="H3" t="str">
        <f t="shared" ref="H3:H66" si="0">A3&amp;".jpeg"</f>
        <v>2.jpeg</v>
      </c>
    </row>
    <row r="4" spans="1:8" x14ac:dyDescent="0.25">
      <c r="A4" s="8">
        <v>3</v>
      </c>
      <c r="B4" s="9" t="s">
        <v>11</v>
      </c>
      <c r="C4" s="10" t="s">
        <v>12</v>
      </c>
      <c r="D4" s="3" t="str">
        <f>VLOOKUP(C4,[1]Sheet1!$A$4:$C$269,2,0)</f>
        <v>038064036430</v>
      </c>
      <c r="E4" s="6" t="str">
        <f>+VLOOKUP(C4,[1]Sheet1!$A$4:$C$269,3,0)</f>
        <v>nvhai@vnuhcm.edu.vn</v>
      </c>
      <c r="F4" s="7" t="s">
        <v>8</v>
      </c>
      <c r="G4" s="25" t="s">
        <v>317</v>
      </c>
      <c r="H4" t="str">
        <f t="shared" si="0"/>
        <v>3.jpeg</v>
      </c>
    </row>
    <row r="5" spans="1:8" x14ac:dyDescent="0.25">
      <c r="A5" s="8">
        <v>4</v>
      </c>
      <c r="B5" s="9" t="s">
        <v>13</v>
      </c>
      <c r="C5" s="10" t="s">
        <v>14</v>
      </c>
      <c r="D5" s="3" t="str">
        <f>VLOOKUP(C5,[1]Sheet1!$A$4:$C$269,2,0)</f>
        <v>082077013772</v>
      </c>
      <c r="E5" s="6" t="str">
        <f>+VLOOKUP(C5,[1]Sheet1!$A$4:$C$269,3,0)</f>
        <v>dvtuan@vnuhcm.edu.vn</v>
      </c>
      <c r="F5" s="7" t="s">
        <v>8</v>
      </c>
      <c r="G5" s="25" t="s">
        <v>318</v>
      </c>
      <c r="H5" t="str">
        <f t="shared" si="0"/>
        <v>4.jpeg</v>
      </c>
    </row>
    <row r="6" spans="1:8" x14ac:dyDescent="0.25">
      <c r="A6" s="8">
        <v>5</v>
      </c>
      <c r="B6" s="9" t="s">
        <v>15</v>
      </c>
      <c r="C6" s="10" t="s">
        <v>16</v>
      </c>
      <c r="D6" s="3" t="str">
        <f>VLOOKUP(C6,[1]Sheet1!$A$4:$C$269,2,0)</f>
        <v>082075008055</v>
      </c>
      <c r="E6" s="6" t="str">
        <f>+VLOOKUP(C6,[1]Sheet1!$A$4:$C$269,3,0)</f>
        <v>anhkiet@vnuhcm.edu.vn</v>
      </c>
      <c r="F6" s="7" t="s">
        <v>8</v>
      </c>
      <c r="G6" s="25" t="s">
        <v>319</v>
      </c>
      <c r="H6" t="str">
        <f t="shared" si="0"/>
        <v>5.jpeg</v>
      </c>
    </row>
    <row r="7" spans="1:8" x14ac:dyDescent="0.25">
      <c r="A7" s="8">
        <v>6</v>
      </c>
      <c r="B7" s="9" t="s">
        <v>17</v>
      </c>
      <c r="C7" s="10" t="s">
        <v>18</v>
      </c>
      <c r="D7" s="3" t="str">
        <f>VLOOKUP(C7,[1]Sheet1!$A$4:$C$269,2,0)</f>
        <v>079079032487</v>
      </c>
      <c r="E7" s="6" t="str">
        <f>+VLOOKUP(C7,[1]Sheet1!$A$4:$C$269,3,0)</f>
        <v>tvthang@ktxhcm.edu.vn</v>
      </c>
      <c r="F7" s="7" t="s">
        <v>8</v>
      </c>
      <c r="G7" s="25" t="s">
        <v>314</v>
      </c>
      <c r="H7" t="str">
        <f t="shared" si="0"/>
        <v>6.jpeg</v>
      </c>
    </row>
    <row r="8" spans="1:8" x14ac:dyDescent="0.25">
      <c r="A8" s="8">
        <v>7</v>
      </c>
      <c r="B8" s="9" t="s">
        <v>19</v>
      </c>
      <c r="C8" s="10" t="s">
        <v>20</v>
      </c>
      <c r="D8" s="3" t="str">
        <f>VLOOKUP(C8,[1]Sheet1!$A$4:$C$269,2,0)</f>
        <v>044197006714</v>
      </c>
      <c r="E8" s="6" t="s">
        <v>21</v>
      </c>
      <c r="F8" s="11" t="s">
        <v>22</v>
      </c>
      <c r="G8" s="25" t="s">
        <v>320</v>
      </c>
      <c r="H8" t="str">
        <f t="shared" si="0"/>
        <v>7.jpeg</v>
      </c>
    </row>
    <row r="9" spans="1:8" x14ac:dyDescent="0.25">
      <c r="A9" s="12">
        <v>8</v>
      </c>
      <c r="B9" s="13" t="s">
        <v>23</v>
      </c>
      <c r="C9" s="14" t="s">
        <v>24</v>
      </c>
      <c r="D9" s="3" t="str">
        <f>VLOOKUP(C9,[1]Sheet1!$A$4:$C$269,2,0)</f>
        <v>048182000489</v>
      </c>
      <c r="E9" s="6" t="str">
        <f>+VLOOKUP(C9,[1]Sheet1!$A$4:$C$269,3,0)</f>
        <v>ntmthanh@ktxhcm.edu.vn</v>
      </c>
      <c r="F9" s="11" t="s">
        <v>22</v>
      </c>
      <c r="G9" s="25" t="s">
        <v>321</v>
      </c>
      <c r="H9" t="str">
        <f t="shared" si="0"/>
        <v>8.jpeg</v>
      </c>
    </row>
    <row r="10" spans="1:8" x14ac:dyDescent="0.25">
      <c r="A10" s="12">
        <v>9</v>
      </c>
      <c r="B10" s="13" t="s">
        <v>25</v>
      </c>
      <c r="C10" s="14" t="s">
        <v>26</v>
      </c>
      <c r="D10" s="3" t="str">
        <f>VLOOKUP(C10,[1]Sheet1!$A$4:$C$269,2,0)</f>
        <v>082192002762</v>
      </c>
      <c r="E10" s="6" t="str">
        <f>+VLOOKUP(C10,[1]Sheet1!$A$4:$C$269,3,0)</f>
        <v>ngocnhung@vnuhcm.edu.vn</v>
      </c>
      <c r="F10" s="11" t="s">
        <v>22</v>
      </c>
      <c r="G10" s="25" t="s">
        <v>322</v>
      </c>
      <c r="H10" t="str">
        <f t="shared" si="0"/>
        <v>9.jpeg</v>
      </c>
    </row>
    <row r="11" spans="1:8" x14ac:dyDescent="0.25">
      <c r="A11" s="12">
        <v>10</v>
      </c>
      <c r="B11" s="13" t="s">
        <v>27</v>
      </c>
      <c r="C11" s="14" t="s">
        <v>28</v>
      </c>
      <c r="D11" s="3" t="str">
        <f>VLOOKUP(C11,[1]Sheet1!$A$4:$C$269,2,0)</f>
        <v>075185018431</v>
      </c>
      <c r="E11" s="6" t="str">
        <f>+VLOOKUP(C11,[1]Sheet1!$A$4:$C$269,3,0)</f>
        <v>pthtuoi@ktxhcm.edu.vn</v>
      </c>
      <c r="F11" s="11" t="s">
        <v>22</v>
      </c>
      <c r="G11" s="25" t="s">
        <v>323</v>
      </c>
      <c r="H11" t="str">
        <f t="shared" si="0"/>
        <v>10.jpeg</v>
      </c>
    </row>
    <row r="12" spans="1:8" x14ac:dyDescent="0.25">
      <c r="A12" s="12">
        <v>11</v>
      </c>
      <c r="B12" s="13" t="s">
        <v>29</v>
      </c>
      <c r="C12" s="14" t="s">
        <v>30</v>
      </c>
      <c r="D12" s="3" t="str">
        <f>VLOOKUP(C12,[1]Sheet1!$A$4:$C$269,2,0)</f>
        <v>070084007765</v>
      </c>
      <c r="E12" s="6" t="str">
        <f>+VLOOKUP(C12,[1]Sheet1!$A$4:$C$269,3,0)</f>
        <v>ndchinh@ktxhcm.edu.vn</v>
      </c>
      <c r="F12" s="11" t="s">
        <v>22</v>
      </c>
      <c r="G12" s="25" t="s">
        <v>324</v>
      </c>
      <c r="H12" t="str">
        <f t="shared" si="0"/>
        <v>11.jpeg</v>
      </c>
    </row>
    <row r="13" spans="1:8" x14ac:dyDescent="0.25">
      <c r="A13" s="12">
        <v>12</v>
      </c>
      <c r="B13" s="13" t="s">
        <v>31</v>
      </c>
      <c r="C13" s="14" t="s">
        <v>32</v>
      </c>
      <c r="D13" s="3" t="str">
        <f>VLOOKUP(C13,[1]Sheet1!$A$4:$C$269,2,0)</f>
        <v>074199000787</v>
      </c>
      <c r="E13" s="6" t="str">
        <f>+VLOOKUP(C13,[1]Sheet1!$A$4:$C$269,3,0)</f>
        <v>bpnha@ktxhcm.edu.vn</v>
      </c>
      <c r="F13" s="11" t="s">
        <v>22</v>
      </c>
      <c r="G13" s="25" t="s">
        <v>325</v>
      </c>
      <c r="H13" t="str">
        <f t="shared" si="0"/>
        <v>12.jpeg</v>
      </c>
    </row>
    <row r="14" spans="1:8" x14ac:dyDescent="0.25">
      <c r="A14" s="12">
        <v>13</v>
      </c>
      <c r="B14" s="13" t="s">
        <v>33</v>
      </c>
      <c r="C14" s="14" t="s">
        <v>34</v>
      </c>
      <c r="D14" s="3" t="str">
        <f>VLOOKUP(C14,[1]Sheet1!$A$4:$C$269,2,0)</f>
        <v>040196030707</v>
      </c>
      <c r="E14" s="6" t="str">
        <f>+VLOOKUP(C14,[1]Sheet1!$A$4:$C$269,3,0)</f>
        <v>htthien@ktxhcm.edu.vn</v>
      </c>
      <c r="F14" s="11" t="s">
        <v>22</v>
      </c>
      <c r="G14" s="25" t="s">
        <v>326</v>
      </c>
      <c r="H14" t="str">
        <f t="shared" si="0"/>
        <v>13.jpeg</v>
      </c>
    </row>
    <row r="15" spans="1:8" x14ac:dyDescent="0.25">
      <c r="A15" s="12">
        <v>14</v>
      </c>
      <c r="B15" s="13" t="s">
        <v>35</v>
      </c>
      <c r="C15" s="14" t="s">
        <v>36</v>
      </c>
      <c r="D15" s="3" t="str">
        <f>VLOOKUP(C15,[1]Sheet1!$A$4:$C$269,2,0)</f>
        <v>044197002221</v>
      </c>
      <c r="E15" s="6" t="str">
        <f>+VLOOKUP(C15,[1]Sheet1!$A$4:$C$269,3,0)</f>
        <v>trangltt@ktxhcm.edu.vn</v>
      </c>
      <c r="F15" s="11" t="s">
        <v>22</v>
      </c>
      <c r="G15" s="25" t="s">
        <v>327</v>
      </c>
      <c r="H15" t="str">
        <f t="shared" si="0"/>
        <v>14.jpeg</v>
      </c>
    </row>
    <row r="16" spans="1:8" x14ac:dyDescent="0.25">
      <c r="A16" s="12">
        <v>15</v>
      </c>
      <c r="B16" s="13" t="s">
        <v>37</v>
      </c>
      <c r="C16" s="14" t="s">
        <v>38</v>
      </c>
      <c r="D16" s="3" t="str">
        <f>VLOOKUP(C16,[1]Sheet1!$A$4:$C$269,2,0)</f>
        <v>094199004038</v>
      </c>
      <c r="E16" s="6" t="str">
        <f>+VLOOKUP(C16,[1]Sheet1!$A$4:$C$269,3,0)</f>
        <v>ntthao@ktxhcm.edu.vn</v>
      </c>
      <c r="F16" s="11" t="s">
        <v>22</v>
      </c>
      <c r="G16" s="25" t="s">
        <v>328</v>
      </c>
      <c r="H16" t="str">
        <f t="shared" si="0"/>
        <v>15.jpeg</v>
      </c>
    </row>
    <row r="17" spans="1:8" x14ac:dyDescent="0.25">
      <c r="A17" s="12">
        <v>16</v>
      </c>
      <c r="B17" s="13" t="s">
        <v>39</v>
      </c>
      <c r="C17" s="14" t="s">
        <v>40</v>
      </c>
      <c r="D17" s="3" t="str">
        <f>VLOOKUP(C17,[1]Sheet1!$A$4:$C$269,2,0)</f>
        <v>062198003387</v>
      </c>
      <c r="E17" s="6" t="str">
        <f>+VLOOKUP(C17,[1]Sheet1!$A$4:$C$269,3,0)</f>
        <v>ntntram@ktxhcm.edu.vn</v>
      </c>
      <c r="F17" s="11" t="s">
        <v>22</v>
      </c>
      <c r="G17" s="25" t="s">
        <v>329</v>
      </c>
      <c r="H17" t="str">
        <f t="shared" si="0"/>
        <v>16.jpeg</v>
      </c>
    </row>
    <row r="18" spans="1:8" x14ac:dyDescent="0.25">
      <c r="A18" s="8">
        <v>17</v>
      </c>
      <c r="B18" s="15" t="s">
        <v>41</v>
      </c>
      <c r="C18" s="16" t="s">
        <v>42</v>
      </c>
      <c r="D18" s="3" t="str">
        <f>VLOOKUP(C18,[1]Sheet1!$A$4:$C$269,2,0)</f>
        <v>038079038115</v>
      </c>
      <c r="E18" s="6" t="str">
        <f>+VLOOKUP(C18,[1]Sheet1!$A$4:$C$269,3,0)</f>
        <v>lttuan@vnuhcm.edu.vn</v>
      </c>
      <c r="F18" s="11" t="s">
        <v>43</v>
      </c>
      <c r="G18" s="25" t="s">
        <v>330</v>
      </c>
      <c r="H18" t="str">
        <f t="shared" si="0"/>
        <v>17.jpeg</v>
      </c>
    </row>
    <row r="19" spans="1:8" x14ac:dyDescent="0.25">
      <c r="A19" s="12">
        <v>18</v>
      </c>
      <c r="B19" s="13" t="s">
        <v>44</v>
      </c>
      <c r="C19" s="17" t="s">
        <v>45</v>
      </c>
      <c r="D19" s="3" t="str">
        <f>VLOOKUP(C19,[1]Sheet1!$A$4:$C$269,2,0)</f>
        <v>066084009464</v>
      </c>
      <c r="E19" s="6" t="str">
        <f>+VLOOKUP(C19,[1]Sheet1!$A$4:$C$269,3,0)</f>
        <v>trungnv@ktxhcm.edu.vn</v>
      </c>
      <c r="F19" s="11" t="s">
        <v>43</v>
      </c>
      <c r="G19" s="25" t="s">
        <v>331</v>
      </c>
      <c r="H19" t="str">
        <f t="shared" si="0"/>
        <v>18.jpeg</v>
      </c>
    </row>
    <row r="20" spans="1:8" x14ac:dyDescent="0.25">
      <c r="A20" s="12">
        <v>19</v>
      </c>
      <c r="B20" s="13" t="s">
        <v>46</v>
      </c>
      <c r="C20" s="17" t="s">
        <v>47</v>
      </c>
      <c r="D20" s="3" t="str">
        <f>VLOOKUP(C20,[1]Sheet1!$A$4:$C$269,2,0)</f>
        <v>052191020632</v>
      </c>
      <c r="E20" s="18" t="s">
        <v>48</v>
      </c>
      <c r="F20" s="11" t="s">
        <v>43</v>
      </c>
      <c r="G20" s="25" t="s">
        <v>332</v>
      </c>
      <c r="H20" t="str">
        <f t="shared" si="0"/>
        <v>19.jpeg</v>
      </c>
    </row>
    <row r="21" spans="1:8" x14ac:dyDescent="0.25">
      <c r="A21" s="12">
        <v>20</v>
      </c>
      <c r="B21" s="13" t="s">
        <v>49</v>
      </c>
      <c r="C21" s="14" t="s">
        <v>50</v>
      </c>
      <c r="D21" s="3" t="str">
        <f>VLOOKUP(C21,[1]Sheet1!$A$4:$C$269,2,0)</f>
        <v>036086006308</v>
      </c>
      <c r="E21" s="6" t="str">
        <f>+VLOOKUP(C21,[1]Sheet1!$A$4:$C$269,3,0)</f>
        <v>tccuong@ktxhcm.edu.vn</v>
      </c>
      <c r="F21" s="11" t="s">
        <v>43</v>
      </c>
      <c r="G21" s="25" t="s">
        <v>333</v>
      </c>
      <c r="H21" t="str">
        <f t="shared" si="0"/>
        <v>20.jpeg</v>
      </c>
    </row>
    <row r="22" spans="1:8" ht="33" x14ac:dyDescent="0.25">
      <c r="A22" s="12">
        <v>21</v>
      </c>
      <c r="B22" s="13" t="s">
        <v>51</v>
      </c>
      <c r="C22" s="14" t="s">
        <v>52</v>
      </c>
      <c r="D22" s="3" t="str">
        <f>VLOOKUP(C22,[1]Sheet1!$A$4:$C$269,2,0)</f>
        <v>052183018949</v>
      </c>
      <c r="E22" s="6" t="str">
        <f>+VLOOKUP(C22,[1]Sheet1!$A$4:$C$269,3,0)</f>
        <v>ntttuyen@ktxhcm.edu.vn</v>
      </c>
      <c r="F22" s="11" t="s">
        <v>43</v>
      </c>
      <c r="G22" s="25" t="s">
        <v>334</v>
      </c>
      <c r="H22" t="str">
        <f t="shared" si="0"/>
        <v>21.jpeg</v>
      </c>
    </row>
    <row r="23" spans="1:8" x14ac:dyDescent="0.25">
      <c r="A23" s="12">
        <v>22</v>
      </c>
      <c r="B23" s="13" t="s">
        <v>53</v>
      </c>
      <c r="C23" s="14" t="s">
        <v>54</v>
      </c>
      <c r="D23" s="3" t="str">
        <f>VLOOKUP(C23,[1]Sheet1!$A$4:$C$269,2,0)</f>
        <v>036176014814</v>
      </c>
      <c r="E23" s="6" t="str">
        <f>+VLOOKUP(C23,[1]Sheet1!$A$4:$C$269,3,0)</f>
        <v>nthang@ktxhcm.edu.vn</v>
      </c>
      <c r="F23" s="11" t="s">
        <v>43</v>
      </c>
      <c r="G23" s="25" t="s">
        <v>335</v>
      </c>
      <c r="H23" t="str">
        <f t="shared" si="0"/>
        <v>22.jpeg</v>
      </c>
    </row>
    <row r="24" spans="1:8" x14ac:dyDescent="0.25">
      <c r="A24" s="12">
        <v>23</v>
      </c>
      <c r="B24" s="13" t="s">
        <v>55</v>
      </c>
      <c r="C24" s="14" t="s">
        <v>56</v>
      </c>
      <c r="D24" s="3" t="str">
        <f>VLOOKUP(C24,[1]Sheet1!$A$4:$C$269,2,0)</f>
        <v>042194000293</v>
      </c>
      <c r="E24" s="6" t="str">
        <f>+VLOOKUP(C24,[1]Sheet1!$A$4:$C$269,3,0)</f>
        <v>dtphuong@ktxhcm.edu.vn</v>
      </c>
      <c r="F24" s="11" t="s">
        <v>43</v>
      </c>
      <c r="G24" s="25" t="s">
        <v>336</v>
      </c>
      <c r="H24" t="str">
        <f t="shared" si="0"/>
        <v>23.jpeg</v>
      </c>
    </row>
    <row r="25" spans="1:8" x14ac:dyDescent="0.25">
      <c r="A25" s="12">
        <v>24</v>
      </c>
      <c r="B25" s="13" t="s">
        <v>57</v>
      </c>
      <c r="C25" s="14" t="s">
        <v>58</v>
      </c>
      <c r="D25" s="3" t="str">
        <f>VLOOKUP(C25,[1]Sheet1!$A$4:$C$269,2,0)</f>
        <v>051194010266</v>
      </c>
      <c r="E25" s="6" t="str">
        <f>+VLOOKUP(C25,[1]Sheet1!$A$4:$C$269,3,0)</f>
        <v>ttkthi@ktxhcm.edu.vn</v>
      </c>
      <c r="F25" s="11" t="s">
        <v>43</v>
      </c>
      <c r="G25" s="25" t="s">
        <v>337</v>
      </c>
      <c r="H25" t="str">
        <f t="shared" si="0"/>
        <v>24.jpeg</v>
      </c>
    </row>
    <row r="26" spans="1:8" x14ac:dyDescent="0.25">
      <c r="A26" s="12">
        <v>25</v>
      </c>
      <c r="B26" s="13" t="s">
        <v>59</v>
      </c>
      <c r="C26" s="14" t="s">
        <v>60</v>
      </c>
      <c r="D26" s="3" t="str">
        <f>VLOOKUP(C26,[1]Sheet1!$A$4:$C$269,2,0)</f>
        <v>046193009778</v>
      </c>
      <c r="E26" s="6" t="str">
        <f>+VLOOKUP(C26,[1]Sheet1!$A$4:$C$269,3,0)</f>
        <v>dtdmy@ktxhcm.edu.vn</v>
      </c>
      <c r="F26" s="11" t="s">
        <v>43</v>
      </c>
      <c r="G26" s="25" t="s">
        <v>338</v>
      </c>
      <c r="H26" t="str">
        <f t="shared" si="0"/>
        <v>25.jpeg</v>
      </c>
    </row>
    <row r="27" spans="1:8" x14ac:dyDescent="0.25">
      <c r="A27" s="12">
        <v>26</v>
      </c>
      <c r="B27" s="13" t="s">
        <v>61</v>
      </c>
      <c r="C27" s="14" t="s">
        <v>62</v>
      </c>
      <c r="D27" s="3" t="str">
        <f>VLOOKUP(C27,[1]Sheet1!$A$4:$C$269,2,0)</f>
        <v>040076016070</v>
      </c>
      <c r="E27" s="6" t="str">
        <f>+VLOOKUP(C27,[1]Sheet1!$A$4:$C$269,3,0)</f>
        <v>dbbinh@ktxhcm.edu.vn</v>
      </c>
      <c r="F27" s="11" t="s">
        <v>63</v>
      </c>
      <c r="G27" s="25" t="s">
        <v>339</v>
      </c>
      <c r="H27" t="str">
        <f t="shared" si="0"/>
        <v>26.jpeg</v>
      </c>
    </row>
    <row r="28" spans="1:8" ht="33" x14ac:dyDescent="0.25">
      <c r="A28" s="12">
        <v>27</v>
      </c>
      <c r="B28" s="13" t="s">
        <v>64</v>
      </c>
      <c r="C28" s="14" t="s">
        <v>65</v>
      </c>
      <c r="D28" s="3" t="str">
        <f>VLOOKUP(C28,[1]Sheet1!$A$4:$C$269,2,0)</f>
        <v>087089019199</v>
      </c>
      <c r="E28" s="6" t="str">
        <f>+VLOOKUP(C28,[1]Sheet1!$A$4:$C$269,3,0)</f>
        <v>nhbtrung@ktxhcm.edu.vn</v>
      </c>
      <c r="F28" s="11" t="s">
        <v>63</v>
      </c>
      <c r="G28" s="25" t="s">
        <v>340</v>
      </c>
      <c r="H28" t="str">
        <f t="shared" si="0"/>
        <v>27.jpeg</v>
      </c>
    </row>
    <row r="29" spans="1:8" x14ac:dyDescent="0.25">
      <c r="A29" s="12">
        <v>28</v>
      </c>
      <c r="B29" s="13" t="s">
        <v>66</v>
      </c>
      <c r="C29" s="14" t="s">
        <v>67</v>
      </c>
      <c r="D29" s="3" t="str">
        <f>VLOOKUP(C29,[1]Sheet1!$A$4:$C$269,2,0)</f>
        <v>060189016675</v>
      </c>
      <c r="E29" s="6" t="str">
        <f>+VLOOKUP(C29,[1]Sheet1!$A$4:$C$269,3,0)</f>
        <v>ntxloan@ktxhcm.edu.vn</v>
      </c>
      <c r="F29" s="11" t="s">
        <v>63</v>
      </c>
      <c r="G29" s="25" t="s">
        <v>341</v>
      </c>
      <c r="H29" t="str">
        <f t="shared" si="0"/>
        <v>28.jpeg</v>
      </c>
    </row>
    <row r="30" spans="1:8" x14ac:dyDescent="0.25">
      <c r="A30" s="12">
        <v>29</v>
      </c>
      <c r="B30" s="13" t="s">
        <v>68</v>
      </c>
      <c r="C30" s="14" t="s">
        <v>69</v>
      </c>
      <c r="D30" s="3" t="str">
        <f>VLOOKUP(C30,[1]Sheet1!$A$4:$C$269,2,0)</f>
        <v>025184011415</v>
      </c>
      <c r="E30" s="6" t="str">
        <f>+VLOOKUP(C30,[1]Sheet1!$A$4:$C$269,3,0)</f>
        <v>ptklien@ktxhcm.edu.vn</v>
      </c>
      <c r="F30" s="11" t="s">
        <v>63</v>
      </c>
      <c r="G30" s="25" t="s">
        <v>342</v>
      </c>
      <c r="H30" t="str">
        <f t="shared" si="0"/>
        <v>29.jpeg</v>
      </c>
    </row>
    <row r="31" spans="1:8" x14ac:dyDescent="0.25">
      <c r="A31" s="12">
        <v>30</v>
      </c>
      <c r="B31" s="13" t="s">
        <v>70</v>
      </c>
      <c r="C31" s="14" t="s">
        <v>71</v>
      </c>
      <c r="D31" s="3" t="str">
        <f>VLOOKUP(C31,[1]Sheet1!$A$4:$C$269,2,0)</f>
        <v>082081000085</v>
      </c>
      <c r="E31" s="6" t="str">
        <f>+VLOOKUP(C31,[1]Sheet1!$A$4:$C$269,3,0)</f>
        <v>pnphuong@ktxhcm.edu.vn</v>
      </c>
      <c r="F31" s="11" t="s">
        <v>63</v>
      </c>
      <c r="G31" s="25" t="s">
        <v>343</v>
      </c>
      <c r="H31" t="str">
        <f t="shared" si="0"/>
        <v>30.jpeg</v>
      </c>
    </row>
    <row r="32" spans="1:8" x14ac:dyDescent="0.25">
      <c r="A32" s="12">
        <v>31</v>
      </c>
      <c r="B32" s="13" t="s">
        <v>72</v>
      </c>
      <c r="C32" s="14" t="s">
        <v>73</v>
      </c>
      <c r="D32" s="3" t="str">
        <f>VLOOKUP(C32,[1]Sheet1!$A$4:$C$269,2,0)</f>
        <v>070092008110</v>
      </c>
      <c r="E32" s="6" t="str">
        <f>+VLOOKUP(C32,[1]Sheet1!$A$4:$C$269,3,0)</f>
        <v>tmthanh@ktxhcm.edu.vn</v>
      </c>
      <c r="F32" s="11" t="s">
        <v>63</v>
      </c>
      <c r="G32" s="25" t="s">
        <v>344</v>
      </c>
      <c r="H32" t="str">
        <f t="shared" si="0"/>
        <v>31.jpeg</v>
      </c>
    </row>
    <row r="33" spans="1:8" x14ac:dyDescent="0.25">
      <c r="A33" s="12">
        <v>32</v>
      </c>
      <c r="B33" s="13" t="s">
        <v>74</v>
      </c>
      <c r="C33" s="14" t="s">
        <v>75</v>
      </c>
      <c r="D33" s="3" t="str">
        <f>VLOOKUP(C33,[1]Sheet1!$A$4:$C$269,2,0)</f>
        <v>080183004673</v>
      </c>
      <c r="E33" s="6" t="str">
        <f>+VLOOKUP(C33,[1]Sheet1!$A$4:$C$269,3,0)</f>
        <v>dtquyen@ktxhcm.edu.vn</v>
      </c>
      <c r="F33" s="11" t="s">
        <v>63</v>
      </c>
      <c r="G33" s="25" t="s">
        <v>345</v>
      </c>
      <c r="H33" t="str">
        <f t="shared" si="0"/>
        <v>32.jpeg</v>
      </c>
    </row>
    <row r="34" spans="1:8" x14ac:dyDescent="0.25">
      <c r="A34" s="12">
        <v>33</v>
      </c>
      <c r="B34" s="13" t="s">
        <v>76</v>
      </c>
      <c r="C34" s="14" t="s">
        <v>77</v>
      </c>
      <c r="D34" s="3" t="str">
        <f>VLOOKUP(C34,[1]Sheet1!$A$4:$C$269,2,0)</f>
        <v>079099026760</v>
      </c>
      <c r="E34" s="6" t="str">
        <f>+VLOOKUP(C34,[1]Sheet1!$A$4:$C$269,3,0)</f>
        <v>clbao@ktxhcm.edu.vn</v>
      </c>
      <c r="F34" s="11" t="s">
        <v>63</v>
      </c>
      <c r="G34" s="25" t="s">
        <v>346</v>
      </c>
      <c r="H34" t="str">
        <f t="shared" si="0"/>
        <v>33.jpeg</v>
      </c>
    </row>
    <row r="35" spans="1:8" x14ac:dyDescent="0.25">
      <c r="A35" s="12">
        <v>34</v>
      </c>
      <c r="B35" s="13" t="s">
        <v>78</v>
      </c>
      <c r="C35" s="14" t="s">
        <v>79</v>
      </c>
      <c r="D35" s="3" t="str">
        <f>VLOOKUP(C35,[1]Sheet1!$A$4:$C$269,2,0)</f>
        <v>046085003019</v>
      </c>
      <c r="E35" s="6" t="str">
        <f>+VLOOKUP(C35,[1]Sheet1!$A$4:$C$269,3,0)</f>
        <v>nttuy@ktxhcm.edu.vn</v>
      </c>
      <c r="F35" s="11" t="s">
        <v>63</v>
      </c>
      <c r="G35" s="25" t="s">
        <v>347</v>
      </c>
      <c r="H35" t="str">
        <f t="shared" si="0"/>
        <v>34.jpeg</v>
      </c>
    </row>
    <row r="36" spans="1:8" x14ac:dyDescent="0.25">
      <c r="A36" s="8">
        <v>35</v>
      </c>
      <c r="B36" s="9" t="s">
        <v>80</v>
      </c>
      <c r="C36" s="14" t="s">
        <v>81</v>
      </c>
      <c r="D36" s="3" t="str">
        <f>VLOOKUP(C36,[1]Sheet1!$A$4:$C$269,2,0)</f>
        <v>060200012353</v>
      </c>
      <c r="E36" s="6" t="str">
        <f>+VLOOKUP(C36,[1]Sheet1!$A$4:$C$269,3,0)</f>
        <v>pttuan@ktxhcm.edu.vn</v>
      </c>
      <c r="F36" s="11" t="s">
        <v>63</v>
      </c>
      <c r="G36" s="25" t="s">
        <v>348</v>
      </c>
      <c r="H36" t="str">
        <f t="shared" si="0"/>
        <v>35.jpeg</v>
      </c>
    </row>
    <row r="37" spans="1:8" x14ac:dyDescent="0.25">
      <c r="A37" s="8">
        <v>36</v>
      </c>
      <c r="B37" s="9" t="s">
        <v>82</v>
      </c>
      <c r="C37" s="14" t="s">
        <v>83</v>
      </c>
      <c r="D37" s="3" t="str">
        <f>VLOOKUP(C37,[1]Sheet1!$A$4:$C$269,2,0)</f>
        <v>036087021699</v>
      </c>
      <c r="E37" s="6" t="str">
        <f>+VLOOKUP(C37,[1]Sheet1!$A$4:$C$269,3,0)</f>
        <v>nvloi@ktxhcm.edu.vn</v>
      </c>
      <c r="F37" s="11" t="s">
        <v>84</v>
      </c>
      <c r="G37" s="25" t="s">
        <v>349</v>
      </c>
      <c r="H37" t="str">
        <f t="shared" si="0"/>
        <v>36.jpeg</v>
      </c>
    </row>
    <row r="38" spans="1:8" x14ac:dyDescent="0.25">
      <c r="A38" s="8">
        <v>37</v>
      </c>
      <c r="B38" s="9" t="s">
        <v>85</v>
      </c>
      <c r="C38" s="14" t="s">
        <v>86</v>
      </c>
      <c r="D38" s="3" t="str">
        <f>VLOOKUP(C38,[1]Sheet1!$A$4:$C$269,2,0)</f>
        <v>052198002926</v>
      </c>
      <c r="E38" s="6" t="str">
        <f>+VLOOKUP(C38,[1]Sheet1!$A$4:$C$269,3,0)</f>
        <v>dttmy@ktxhcm.edu.vn</v>
      </c>
      <c r="F38" s="11" t="s">
        <v>84</v>
      </c>
      <c r="G38" s="25" t="s">
        <v>350</v>
      </c>
      <c r="H38" t="str">
        <f t="shared" si="0"/>
        <v>37.jpeg</v>
      </c>
    </row>
    <row r="39" spans="1:8" x14ac:dyDescent="0.25">
      <c r="A39" s="8">
        <v>38</v>
      </c>
      <c r="B39" s="9" t="s">
        <v>87</v>
      </c>
      <c r="C39" s="14" t="s">
        <v>88</v>
      </c>
      <c r="D39" s="3" t="str">
        <f>VLOOKUP(C39,[1]Sheet1!$A$4:$C$269,2,0)</f>
        <v>075200003513</v>
      </c>
      <c r="E39" s="6" t="str">
        <f>+VLOOKUP(C39,[1]Sheet1!$A$4:$C$269,3,0)</f>
        <v>nntan@ktxhcm.edu.vn</v>
      </c>
      <c r="F39" s="11" t="s">
        <v>84</v>
      </c>
      <c r="G39" s="25" t="s">
        <v>351</v>
      </c>
      <c r="H39" t="str">
        <f t="shared" si="0"/>
        <v>38.jpeg</v>
      </c>
    </row>
    <row r="40" spans="1:8" x14ac:dyDescent="0.25">
      <c r="A40" s="8">
        <v>39</v>
      </c>
      <c r="B40" s="9" t="s">
        <v>89</v>
      </c>
      <c r="C40" s="14" t="s">
        <v>90</v>
      </c>
      <c r="D40" s="3" t="str">
        <f>VLOOKUP(C40,[1]Sheet1!$A$4:$C$269,2,0)</f>
        <v>064191005736</v>
      </c>
      <c r="E40" s="6" t="str">
        <f>+VLOOKUP(C40,[1]Sheet1!$A$4:$C$269,3,0)</f>
        <v>dtnga@ktxhcm.edu.vn</v>
      </c>
      <c r="F40" s="11" t="s">
        <v>84</v>
      </c>
      <c r="G40" s="25" t="s">
        <v>352</v>
      </c>
      <c r="H40" t="str">
        <f t="shared" si="0"/>
        <v>39.jpeg</v>
      </c>
    </row>
    <row r="41" spans="1:8" x14ac:dyDescent="0.25">
      <c r="A41" s="8">
        <v>40</v>
      </c>
      <c r="B41" s="9" t="s">
        <v>91</v>
      </c>
      <c r="C41" s="14" t="s">
        <v>92</v>
      </c>
      <c r="D41" s="3" t="str">
        <f>VLOOKUP(C41,[1]Sheet1!$A$4:$C$269,2,0)</f>
        <v>027071000167</v>
      </c>
      <c r="E41" s="6" t="str">
        <f>+VLOOKUP(C41,[1]Sheet1!$A$4:$C$269,3,0)</f>
        <v>dmtuan@vnuhcm.edu.vn</v>
      </c>
      <c r="F41" s="11" t="s">
        <v>93</v>
      </c>
      <c r="G41" s="25" t="s">
        <v>353</v>
      </c>
      <c r="H41" t="str">
        <f t="shared" si="0"/>
        <v>40.jpeg</v>
      </c>
    </row>
    <row r="42" spans="1:8" x14ac:dyDescent="0.25">
      <c r="A42" s="8">
        <v>41</v>
      </c>
      <c r="B42" s="9" t="s">
        <v>94</v>
      </c>
      <c r="C42" s="14" t="s">
        <v>95</v>
      </c>
      <c r="D42" s="3" t="str">
        <f>VLOOKUP(C42,[1]Sheet1!$A$4:$C$269,2,0)</f>
        <v>045187001641</v>
      </c>
      <c r="E42" s="6" t="str">
        <f>+VLOOKUP(C42,[1]Sheet1!$A$4:$C$269,3,0)</f>
        <v>lttthuy@ktxhcm.edu.vn</v>
      </c>
      <c r="F42" s="11" t="s">
        <v>93</v>
      </c>
      <c r="G42" s="25" t="s">
        <v>354</v>
      </c>
      <c r="H42" t="str">
        <f t="shared" si="0"/>
        <v>41.jpeg</v>
      </c>
    </row>
    <row r="43" spans="1:8" x14ac:dyDescent="0.25">
      <c r="A43" s="12">
        <v>42</v>
      </c>
      <c r="B43" s="13" t="s">
        <v>96</v>
      </c>
      <c r="C43" s="14" t="s">
        <v>97</v>
      </c>
      <c r="D43" s="3" t="str">
        <f>VLOOKUP(C43,[1]Sheet1!$A$4:$C$269,2,0)</f>
        <v>001070000159</v>
      </c>
      <c r="E43" s="6" t="str">
        <f>+VLOOKUP(C43,[1]Sheet1!$A$4:$C$269,3,0)</f>
        <v>dcminh@ktxhcm.edu.vn</v>
      </c>
      <c r="F43" s="11" t="s">
        <v>93</v>
      </c>
      <c r="G43" s="25" t="s">
        <v>355</v>
      </c>
      <c r="H43" t="str">
        <f t="shared" si="0"/>
        <v>42.jpeg</v>
      </c>
    </row>
    <row r="44" spans="1:8" x14ac:dyDescent="0.25">
      <c r="A44" s="12">
        <v>43</v>
      </c>
      <c r="B44" s="13" t="s">
        <v>98</v>
      </c>
      <c r="C44" s="14" t="s">
        <v>99</v>
      </c>
      <c r="D44" s="3" t="str">
        <f>VLOOKUP(C44,[1]Sheet1!$A$4:$C$269,2,0)</f>
        <v>006087002885</v>
      </c>
      <c r="E44" s="6" t="str">
        <f>+VLOOKUP(C44,[1]Sheet1!$A$4:$C$269,3,0)</f>
        <v>pqhuynh@ktxhcm.edu.vn</v>
      </c>
      <c r="F44" s="11" t="s">
        <v>93</v>
      </c>
      <c r="G44" s="25" t="s">
        <v>356</v>
      </c>
      <c r="H44" t="str">
        <f t="shared" si="0"/>
        <v>43.jpeg</v>
      </c>
    </row>
    <row r="45" spans="1:8" x14ac:dyDescent="0.25">
      <c r="A45" s="12">
        <v>44</v>
      </c>
      <c r="B45" s="13" t="s">
        <v>100</v>
      </c>
      <c r="C45" s="14" t="s">
        <v>101</v>
      </c>
      <c r="D45" s="3" t="str">
        <f>VLOOKUP(C45,[1]Sheet1!$A$4:$C$269,2,0)</f>
        <v>049093011992</v>
      </c>
      <c r="E45" s="6" t="str">
        <f>+VLOOKUP(C45,[1]Sheet1!$A$4:$C$269,3,0)</f>
        <v>tvsang@ktxhcm.edu.vn</v>
      </c>
      <c r="F45" s="11" t="s">
        <v>93</v>
      </c>
      <c r="G45" s="25" t="s">
        <v>357</v>
      </c>
      <c r="H45" t="str">
        <f t="shared" si="0"/>
        <v>44.jpeg</v>
      </c>
    </row>
    <row r="46" spans="1:8" x14ac:dyDescent="0.25">
      <c r="A46" s="12">
        <v>45</v>
      </c>
      <c r="B46" s="13" t="s">
        <v>102</v>
      </c>
      <c r="C46" s="14" t="s">
        <v>103</v>
      </c>
      <c r="D46" s="3" t="str">
        <f>VLOOKUP(C46,[1]Sheet1!$A$4:$C$269,2,0)</f>
        <v>038195009097</v>
      </c>
      <c r="E46" s="6" t="str">
        <f>+VLOOKUP(C46,[1]Sheet1!$A$4:$C$269,3,0)</f>
        <v>mtoanh@ktxhcm.edu.vn</v>
      </c>
      <c r="F46" s="11" t="s">
        <v>93</v>
      </c>
      <c r="G46" s="25" t="s">
        <v>358</v>
      </c>
      <c r="H46" t="str">
        <f t="shared" si="0"/>
        <v>45.jpeg</v>
      </c>
    </row>
    <row r="47" spans="1:8" x14ac:dyDescent="0.25">
      <c r="A47" s="12">
        <v>46</v>
      </c>
      <c r="B47" s="13" t="s">
        <v>104</v>
      </c>
      <c r="C47" s="14" t="s">
        <v>105</v>
      </c>
      <c r="D47" s="3" t="str">
        <f>VLOOKUP(C47,[1]Sheet1!$A$4:$C$269,2,0)</f>
        <v>083099011956</v>
      </c>
      <c r="E47" s="6" t="str">
        <f>+VLOOKUP(C47,[1]Sheet1!$A$4:$C$269,3,0)</f>
        <v>nhnghi@ktxhcm.edu.vn</v>
      </c>
      <c r="F47" s="11" t="s">
        <v>93</v>
      </c>
      <c r="G47" s="25" t="s">
        <v>359</v>
      </c>
      <c r="H47" t="str">
        <f t="shared" si="0"/>
        <v>46.jpeg</v>
      </c>
    </row>
    <row r="48" spans="1:8" x14ac:dyDescent="0.25">
      <c r="A48" s="12">
        <v>47</v>
      </c>
      <c r="B48" s="13" t="s">
        <v>106</v>
      </c>
      <c r="C48" s="14" t="s">
        <v>107</v>
      </c>
      <c r="D48" s="3" t="str">
        <f>VLOOKUP(C48,[1]Sheet1!$A$4:$C$269,2,0)</f>
        <v>066092017620</v>
      </c>
      <c r="E48" s="6" t="str">
        <f>+VLOOKUP(C48,[1]Sheet1!$A$4:$C$269,3,0)</f>
        <v>nqhai@ktxhcm.edu.vn</v>
      </c>
      <c r="F48" s="11" t="s">
        <v>93</v>
      </c>
      <c r="G48" s="25" t="s">
        <v>360</v>
      </c>
      <c r="H48" t="str">
        <f t="shared" si="0"/>
        <v>47.jpeg</v>
      </c>
    </row>
    <row r="49" spans="1:8" x14ac:dyDescent="0.25">
      <c r="A49" s="12">
        <v>48</v>
      </c>
      <c r="B49" s="13" t="s">
        <v>108</v>
      </c>
      <c r="C49" s="14" t="s">
        <v>109</v>
      </c>
      <c r="D49" s="3" t="str">
        <f>VLOOKUP(C49,[1]Sheet1!$A$4:$C$269,2,0)</f>
        <v>084096000111</v>
      </c>
      <c r="E49" s="6" t="str">
        <f>+VLOOKUP(C49,[1]Sheet1!$A$4:$C$269,3,0)</f>
        <v>nchai@ktxhcm.edu.vn</v>
      </c>
      <c r="F49" s="11" t="s">
        <v>93</v>
      </c>
      <c r="G49" s="25" t="s">
        <v>361</v>
      </c>
      <c r="H49" t="str">
        <f t="shared" si="0"/>
        <v>48.jpeg</v>
      </c>
    </row>
    <row r="50" spans="1:8" x14ac:dyDescent="0.25">
      <c r="A50" s="12">
        <v>49</v>
      </c>
      <c r="B50" s="13" t="s">
        <v>110</v>
      </c>
      <c r="C50" s="14" t="s">
        <v>111</v>
      </c>
      <c r="D50" s="3" t="str">
        <f>VLOOKUP(C50,[1]Sheet1!$A$4:$C$269,2,0)</f>
        <v>079086027637</v>
      </c>
      <c r="E50" s="6" t="str">
        <f>+VLOOKUP(C50,[1]Sheet1!$A$4:$C$269,3,0)</f>
        <v>nkhiep@ktxhcm.edu.vn</v>
      </c>
      <c r="F50" s="11" t="s">
        <v>93</v>
      </c>
      <c r="G50" s="25" t="s">
        <v>362</v>
      </c>
      <c r="H50" t="str">
        <f t="shared" si="0"/>
        <v>49.jpeg</v>
      </c>
    </row>
    <row r="51" spans="1:8" x14ac:dyDescent="0.25">
      <c r="A51" s="12">
        <v>50</v>
      </c>
      <c r="B51" s="13" t="s">
        <v>112</v>
      </c>
      <c r="C51" s="14" t="s">
        <v>113</v>
      </c>
      <c r="D51" s="3" t="str">
        <f>VLOOKUP(C51,[1]Sheet1!$A$4:$C$269,2,0)</f>
        <v>051193013179</v>
      </c>
      <c r="E51" s="6" t="str">
        <f>+VLOOKUP(C51,[1]Sheet1!$A$4:$C$269,3,0)</f>
        <v>ntnnu@ktxhcm.edu.vn</v>
      </c>
      <c r="F51" s="11" t="s">
        <v>93</v>
      </c>
      <c r="G51" s="25" t="s">
        <v>363</v>
      </c>
      <c r="H51" t="str">
        <f t="shared" si="0"/>
        <v>50.jpeg</v>
      </c>
    </row>
    <row r="52" spans="1:8" x14ac:dyDescent="0.25">
      <c r="A52" s="12">
        <v>51</v>
      </c>
      <c r="B52" s="13" t="s">
        <v>114</v>
      </c>
      <c r="C52" s="14" t="s">
        <v>115</v>
      </c>
      <c r="D52" s="3" t="str">
        <f>VLOOKUP(C52,[1]Sheet1!$A$4:$C$269,2,0)</f>
        <v>038083024704</v>
      </c>
      <c r="E52" s="6" t="str">
        <f>+VLOOKUP(C52,[1]Sheet1!$A$4:$C$269,3,0)</f>
        <v>hvminh@ktxhcm.edu.vn</v>
      </c>
      <c r="F52" s="11" t="s">
        <v>116</v>
      </c>
      <c r="G52" s="25" t="s">
        <v>364</v>
      </c>
      <c r="H52" t="str">
        <f t="shared" si="0"/>
        <v>51.jpeg</v>
      </c>
    </row>
    <row r="53" spans="1:8" x14ac:dyDescent="0.25">
      <c r="A53" s="12">
        <v>52</v>
      </c>
      <c r="B53" s="13" t="s">
        <v>117</v>
      </c>
      <c r="C53" s="14" t="s">
        <v>118</v>
      </c>
      <c r="D53" s="3" t="str">
        <f>VLOOKUP(C53,[1]Sheet1!$A$4:$C$269,2,0)</f>
        <v>052082004133</v>
      </c>
      <c r="E53" s="6" t="str">
        <f>+VLOOKUP(C53,[1]Sheet1!$A$4:$C$269,3,0)</f>
        <v>pttu@ktxhcm.edu.vn</v>
      </c>
      <c r="F53" s="11" t="s">
        <v>116</v>
      </c>
      <c r="G53" s="25" t="s">
        <v>365</v>
      </c>
      <c r="H53" t="str">
        <f t="shared" si="0"/>
        <v>52.jpeg</v>
      </c>
    </row>
    <row r="54" spans="1:8" x14ac:dyDescent="0.25">
      <c r="A54" s="12">
        <v>53</v>
      </c>
      <c r="B54" s="13" t="s">
        <v>119</v>
      </c>
      <c r="C54" s="14" t="s">
        <v>120</v>
      </c>
      <c r="D54" s="3" t="str">
        <f>VLOOKUP(C54,[1]Sheet1!$A$4:$C$269,2,0)</f>
        <v>056094006282</v>
      </c>
      <c r="E54" s="6" t="str">
        <f>+VLOOKUP(C54,[1]Sheet1!$A$4:$C$269,3,0)</f>
        <v>ldhieu@ktxhcm.edu.vn</v>
      </c>
      <c r="F54" s="11" t="s">
        <v>116</v>
      </c>
      <c r="G54" s="25" t="s">
        <v>366</v>
      </c>
      <c r="H54" t="str">
        <f t="shared" si="0"/>
        <v>53.jpeg</v>
      </c>
    </row>
    <row r="55" spans="1:8" x14ac:dyDescent="0.25">
      <c r="A55" s="12">
        <v>54</v>
      </c>
      <c r="B55" s="13" t="s">
        <v>121</v>
      </c>
      <c r="C55" s="14" t="s">
        <v>122</v>
      </c>
      <c r="D55" s="3" t="str">
        <f>VLOOKUP(C55,[1]Sheet1!$A$4:$C$269,2,0)</f>
        <v>051189012957</v>
      </c>
      <c r="E55" s="6" t="str">
        <f>+VLOOKUP(C55,[1]Sheet1!$A$4:$C$269,3,0)</f>
        <v>ctmnhat@ktxhcm.edu.vn</v>
      </c>
      <c r="F55" s="11" t="s">
        <v>116</v>
      </c>
      <c r="G55" s="25" t="s">
        <v>367</v>
      </c>
      <c r="H55" t="str">
        <f t="shared" si="0"/>
        <v>54.jpeg</v>
      </c>
    </row>
    <row r="56" spans="1:8" x14ac:dyDescent="0.25">
      <c r="A56" s="12">
        <v>55</v>
      </c>
      <c r="B56" s="13" t="s">
        <v>123</v>
      </c>
      <c r="C56" s="14" t="s">
        <v>124</v>
      </c>
      <c r="D56" s="3" t="str">
        <f>VLOOKUP(C56,[1]Sheet1!$A$4:$C$269,2,0)</f>
        <v>040066000338</v>
      </c>
      <c r="E56" s="6" t="str">
        <f>+VLOOKUP(C56,[1]Sheet1!$A$4:$C$269,3,0)</f>
        <v>dvbinh@ktxhcm.edu.vn</v>
      </c>
      <c r="F56" s="11" t="s">
        <v>116</v>
      </c>
      <c r="G56" s="25" t="s">
        <v>368</v>
      </c>
      <c r="H56" t="str">
        <f t="shared" si="0"/>
        <v>55.jpeg</v>
      </c>
    </row>
    <row r="57" spans="1:8" x14ac:dyDescent="0.25">
      <c r="A57" s="12">
        <v>56</v>
      </c>
      <c r="B57" s="13" t="s">
        <v>125</v>
      </c>
      <c r="C57" s="14" t="s">
        <v>126</v>
      </c>
      <c r="D57" s="3" t="str">
        <f>VLOOKUP(C57,[1]Sheet1!$A$4:$C$269,2,0)</f>
        <v>079096000915</v>
      </c>
      <c r="E57" s="6" t="str">
        <f>+VLOOKUP(C57,[1]Sheet1!$A$4:$C$269,3,0)</f>
        <v>lphuc@ktxhcm.edu.vn</v>
      </c>
      <c r="F57" s="11" t="s">
        <v>116</v>
      </c>
      <c r="G57" s="25" t="s">
        <v>369</v>
      </c>
      <c r="H57" t="str">
        <f t="shared" si="0"/>
        <v>56.jpeg</v>
      </c>
    </row>
    <row r="58" spans="1:8" x14ac:dyDescent="0.25">
      <c r="A58" s="12">
        <v>57</v>
      </c>
      <c r="B58" s="13" t="s">
        <v>127</v>
      </c>
      <c r="C58" s="14" t="s">
        <v>128</v>
      </c>
      <c r="D58" s="3" t="str">
        <f>VLOOKUP(C58,[1]Sheet1!$A$4:$C$269,2,0)</f>
        <v>052092005574</v>
      </c>
      <c r="E58" s="6" t="str">
        <f>+VLOOKUP(C58,[1]Sheet1!$A$4:$C$269,3,0)</f>
        <v>ntthach@ktxhcm.edu.vn</v>
      </c>
      <c r="F58" s="11" t="s">
        <v>116</v>
      </c>
      <c r="G58" s="25" t="s">
        <v>370</v>
      </c>
      <c r="H58" t="str">
        <f t="shared" si="0"/>
        <v>57.jpeg</v>
      </c>
    </row>
    <row r="59" spans="1:8" x14ac:dyDescent="0.25">
      <c r="A59" s="12">
        <v>58</v>
      </c>
      <c r="B59" s="13" t="s">
        <v>129</v>
      </c>
      <c r="C59" s="14" t="s">
        <v>130</v>
      </c>
      <c r="D59" s="3" t="str">
        <f>VLOOKUP(C59,[1]Sheet1!$A$4:$C$269,2,0)</f>
        <v>096302011766</v>
      </c>
      <c r="E59" s="6" t="str">
        <f>+VLOOKUP(C59,[1]Sheet1!$A$4:$C$269,3,0)</f>
        <v>mtdao@ktxhcm.edu.vn</v>
      </c>
      <c r="F59" s="11" t="s">
        <v>116</v>
      </c>
      <c r="G59" s="25" t="s">
        <v>371</v>
      </c>
      <c r="H59" t="str">
        <f t="shared" si="0"/>
        <v>58.jpeg</v>
      </c>
    </row>
    <row r="60" spans="1:8" x14ac:dyDescent="0.25">
      <c r="A60" s="12">
        <v>59</v>
      </c>
      <c r="B60" s="13" t="s">
        <v>131</v>
      </c>
      <c r="C60" s="14" t="s">
        <v>132</v>
      </c>
      <c r="D60" s="3" t="str">
        <f>VLOOKUP(C60,[1]Sheet1!$A$4:$C$269,2,0)</f>
        <v>042088013907</v>
      </c>
      <c r="E60" s="6" t="str">
        <f>+VLOOKUP(C60,[1]Sheet1!$A$4:$C$269,3,0)</f>
        <v>ntngoc@ktxhcm.edu.vn</v>
      </c>
      <c r="F60" s="11" t="s">
        <v>116</v>
      </c>
      <c r="G60" s="25" t="s">
        <v>372</v>
      </c>
      <c r="H60" t="str">
        <f t="shared" si="0"/>
        <v>59.jpeg</v>
      </c>
    </row>
    <row r="61" spans="1:8" x14ac:dyDescent="0.25">
      <c r="A61" s="12">
        <v>60</v>
      </c>
      <c r="B61" s="13" t="s">
        <v>133</v>
      </c>
      <c r="C61" s="14" t="s">
        <v>134</v>
      </c>
      <c r="D61" s="3" t="str">
        <f>VLOOKUP(C61,[1]Sheet1!$A$4:$C$269,2,0)</f>
        <v xml:space="preserve">040189018098 </v>
      </c>
      <c r="E61" s="6" t="str">
        <f>+VLOOKUP(C61,[1]Sheet1!$A$4:$C$269,3,0)</f>
        <v>vthien@ktxhcm.edu.vn</v>
      </c>
      <c r="F61" s="11" t="s">
        <v>116</v>
      </c>
      <c r="G61" s="25" t="s">
        <v>373</v>
      </c>
      <c r="H61" t="str">
        <f t="shared" si="0"/>
        <v>60.jpeg</v>
      </c>
    </row>
    <row r="62" spans="1:8" x14ac:dyDescent="0.25">
      <c r="A62" s="12">
        <v>61</v>
      </c>
      <c r="B62" s="13" t="s">
        <v>135</v>
      </c>
      <c r="C62" s="14" t="s">
        <v>136</v>
      </c>
      <c r="D62" s="3" t="str">
        <f>VLOOKUP(C62,[1]Sheet1!$A$4:$C$269,2,0)</f>
        <v>037076015646</v>
      </c>
      <c r="E62" s="6" t="str">
        <f>+VLOOKUP(C62,[1]Sheet1!$A$4:$C$269,3,0)</f>
        <v>dxthanh@ktxhcm.edu.vn</v>
      </c>
      <c r="F62" s="11" t="s">
        <v>116</v>
      </c>
      <c r="G62" s="25" t="s">
        <v>374</v>
      </c>
      <c r="H62" t="str">
        <f t="shared" si="0"/>
        <v>61.jpeg</v>
      </c>
    </row>
    <row r="63" spans="1:8" x14ac:dyDescent="0.25">
      <c r="A63" s="12">
        <v>62</v>
      </c>
      <c r="B63" s="13" t="s">
        <v>137</v>
      </c>
      <c r="C63" s="14" t="s">
        <v>138</v>
      </c>
      <c r="D63" s="3" t="str">
        <f>VLOOKUP(C63,[1]Sheet1!$A$4:$C$269,2,0)</f>
        <v>044092011913</v>
      </c>
      <c r="E63" s="6" t="str">
        <f>+VLOOKUP(C63,[1]Sheet1!$A$4:$C$269,3,0)</f>
        <v>hmtai@ktxhcm.edu.vn</v>
      </c>
      <c r="F63" s="11" t="s">
        <v>116</v>
      </c>
      <c r="G63" s="25" t="s">
        <v>375</v>
      </c>
      <c r="H63" t="str">
        <f t="shared" si="0"/>
        <v>62.jpeg</v>
      </c>
    </row>
    <row r="64" spans="1:8" x14ac:dyDescent="0.25">
      <c r="A64" s="12">
        <v>63</v>
      </c>
      <c r="B64" s="13" t="s">
        <v>139</v>
      </c>
      <c r="C64" s="14" t="s">
        <v>140</v>
      </c>
      <c r="D64" s="3" t="str">
        <f>VLOOKUP(C64,[1]Sheet1!$A$4:$C$269,2,0)</f>
        <v>075196009285</v>
      </c>
      <c r="E64" s="6" t="str">
        <f>+VLOOKUP(C64,[1]Sheet1!$A$4:$C$269,3,0)</f>
        <v>hpnthuy@ktxhcm.edu.vn</v>
      </c>
      <c r="F64" s="11" t="s">
        <v>116</v>
      </c>
      <c r="G64" s="25" t="s">
        <v>376</v>
      </c>
      <c r="H64" t="str">
        <f t="shared" si="0"/>
        <v>63.jpeg</v>
      </c>
    </row>
    <row r="65" spans="1:8" x14ac:dyDescent="0.25">
      <c r="A65" s="12">
        <v>64</v>
      </c>
      <c r="B65" s="13" t="s">
        <v>141</v>
      </c>
      <c r="C65" s="14" t="s">
        <v>142</v>
      </c>
      <c r="D65" s="3" t="str">
        <f>VLOOKUP(C65,[1]Sheet1!$A$4:$C$269,2,0)</f>
        <v>015068004225</v>
      </c>
      <c r="E65" s="6" t="str">
        <f>+VLOOKUP(C65,[1]Sheet1!$A$4:$C$269,3,0)</f>
        <v>tbbay@ktxhcm.edu.vn</v>
      </c>
      <c r="F65" s="11" t="s">
        <v>116</v>
      </c>
      <c r="G65" s="25" t="s">
        <v>377</v>
      </c>
      <c r="H65" t="str">
        <f t="shared" si="0"/>
        <v>64.jpeg</v>
      </c>
    </row>
    <row r="66" spans="1:8" x14ac:dyDescent="0.25">
      <c r="A66" s="12">
        <v>65</v>
      </c>
      <c r="B66" s="13" t="s">
        <v>143</v>
      </c>
      <c r="C66" s="14" t="s">
        <v>144</v>
      </c>
      <c r="D66" s="3" t="str">
        <f>VLOOKUP(C66,[1]Sheet1!$A$4:$C$269,2,0)</f>
        <v>038079031846</v>
      </c>
      <c r="E66" s="6" t="str">
        <f>+VLOOKUP(C66,[1]Sheet1!$A$4:$C$269,3,0)</f>
        <v>lnphuong@ktxhcm.edu.vn</v>
      </c>
      <c r="F66" s="11" t="s">
        <v>116</v>
      </c>
      <c r="G66" s="25" t="s">
        <v>378</v>
      </c>
      <c r="H66" t="str">
        <f t="shared" si="0"/>
        <v>65.jpeg</v>
      </c>
    </row>
    <row r="67" spans="1:8" x14ac:dyDescent="0.25">
      <c r="A67" s="12">
        <v>66</v>
      </c>
      <c r="B67" s="13" t="s">
        <v>145</v>
      </c>
      <c r="C67" s="10" t="s">
        <v>146</v>
      </c>
      <c r="D67" s="3" t="str">
        <f>VLOOKUP(C67,[1]Sheet1!$A$4:$C$269,2,0)</f>
        <v>040074018091</v>
      </c>
      <c r="E67" s="6" t="str">
        <f>+VLOOKUP(C67,[1]Sheet1!$A$4:$C$269,3,0)</f>
        <v>tdnam@ktxhcm.edu.vn</v>
      </c>
      <c r="F67" s="11" t="s">
        <v>147</v>
      </c>
      <c r="G67" s="25" t="s">
        <v>379</v>
      </c>
      <c r="H67" t="str">
        <f t="shared" ref="H67:H130" si="1">A67&amp;".jpeg"</f>
        <v>66.jpeg</v>
      </c>
    </row>
    <row r="68" spans="1:8" x14ac:dyDescent="0.25">
      <c r="A68" s="12">
        <v>67</v>
      </c>
      <c r="B68" s="13" t="s">
        <v>148</v>
      </c>
      <c r="C68" s="10" t="s">
        <v>149</v>
      </c>
      <c r="D68" s="3" t="str">
        <f>VLOOKUP(C68,[1]Sheet1!$A$4:$C$269,2,0)</f>
        <v>046082030870</v>
      </c>
      <c r="E68" s="6" t="str">
        <f>+VLOOKUP(C68,[1]Sheet1!$A$4:$C$269,3,0)</f>
        <v>nctuong@vnuhcm.edu.vn</v>
      </c>
      <c r="F68" s="11" t="s">
        <v>147</v>
      </c>
      <c r="G68" s="25" t="s">
        <v>380</v>
      </c>
      <c r="H68" t="str">
        <f t="shared" si="1"/>
        <v>67.jpeg</v>
      </c>
    </row>
    <row r="69" spans="1:8" x14ac:dyDescent="0.25">
      <c r="A69" s="12">
        <v>68</v>
      </c>
      <c r="B69" s="13" t="s">
        <v>150</v>
      </c>
      <c r="C69" s="10" t="s">
        <v>151</v>
      </c>
      <c r="D69" s="3" t="str">
        <f>VLOOKUP(C69,[1]Sheet1!$A$4:$C$269,2,0)</f>
        <v>042083017414</v>
      </c>
      <c r="E69" s="6" t="str">
        <f>+VLOOKUP(C69,[1]Sheet1!$A$4:$C$269,3,0)</f>
        <v>nvdong@ktxhcm.edu.vn</v>
      </c>
      <c r="F69" s="11" t="s">
        <v>147</v>
      </c>
      <c r="G69" s="25" t="s">
        <v>381</v>
      </c>
      <c r="H69" t="str">
        <f t="shared" si="1"/>
        <v>68.jpeg</v>
      </c>
    </row>
    <row r="70" spans="1:8" x14ac:dyDescent="0.25">
      <c r="A70" s="12">
        <v>69</v>
      </c>
      <c r="B70" s="13" t="s">
        <v>152</v>
      </c>
      <c r="C70" s="10" t="s">
        <v>153</v>
      </c>
      <c r="D70" s="3" t="str">
        <f>VLOOKUP(C70,[1]Sheet1!$A$4:$C$269,2,0)</f>
        <v>033083000240</v>
      </c>
      <c r="E70" s="6" t="str">
        <f>+VLOOKUP(C70,[1]Sheet1!$A$4:$C$269,3,0)</f>
        <v>ntthien@ktxhcm.edu.vn</v>
      </c>
      <c r="F70" s="11" t="s">
        <v>147</v>
      </c>
      <c r="G70" s="25" t="s">
        <v>382</v>
      </c>
      <c r="H70" t="str">
        <f t="shared" si="1"/>
        <v>69.jpeg</v>
      </c>
    </row>
    <row r="71" spans="1:8" x14ac:dyDescent="0.25">
      <c r="A71" s="12">
        <v>70</v>
      </c>
      <c r="B71" s="13" t="s">
        <v>154</v>
      </c>
      <c r="C71" s="10" t="s">
        <v>155</v>
      </c>
      <c r="D71" s="3" t="str">
        <f>VLOOKUP(C71,[1]Sheet1!$A$4:$C$269,2,0)</f>
        <v>044086007710</v>
      </c>
      <c r="E71" s="6" t="str">
        <f>+VLOOKUP(C71,[1]Sheet1!$A$4:$C$269,3,0)</f>
        <v>dtdung@ktxhcm.edu.vn</v>
      </c>
      <c r="F71" s="11" t="s">
        <v>147</v>
      </c>
      <c r="G71" s="25" t="s">
        <v>383</v>
      </c>
      <c r="H71" t="str">
        <f t="shared" si="1"/>
        <v>70.jpeg</v>
      </c>
    </row>
    <row r="72" spans="1:8" x14ac:dyDescent="0.25">
      <c r="A72" s="12">
        <v>71</v>
      </c>
      <c r="B72" s="13" t="s">
        <v>156</v>
      </c>
      <c r="C72" s="10" t="s">
        <v>157</v>
      </c>
      <c r="D72" s="3" t="str">
        <f>VLOOKUP(C72,[1]Sheet1!$A$4:$C$269,2,0)</f>
        <v>042185005773</v>
      </c>
      <c r="E72" s="6" t="str">
        <f>+VLOOKUP(C72,[1]Sheet1!$A$4:$C$269,3,0)</f>
        <v>nthanh@ktxhcm.edu.vn</v>
      </c>
      <c r="F72" s="11" t="s">
        <v>147</v>
      </c>
      <c r="G72" s="25" t="s">
        <v>384</v>
      </c>
      <c r="H72" t="str">
        <f t="shared" si="1"/>
        <v>71.jpeg</v>
      </c>
    </row>
    <row r="73" spans="1:8" x14ac:dyDescent="0.25">
      <c r="A73" s="12">
        <v>72</v>
      </c>
      <c r="B73" s="13" t="s">
        <v>158</v>
      </c>
      <c r="C73" s="10" t="s">
        <v>159</v>
      </c>
      <c r="D73" s="3" t="str">
        <f>VLOOKUP(C73,[1]Sheet1!$A$4:$C$269,2,0)</f>
        <v>038077027467</v>
      </c>
      <c r="E73" s="6" t="str">
        <f>+VLOOKUP(C73,[1]Sheet1!$A$4:$C$269,3,0)</f>
        <v>nvluong@ktxhcm.edu.vn</v>
      </c>
      <c r="F73" s="11" t="s">
        <v>147</v>
      </c>
      <c r="G73" s="25" t="s">
        <v>385</v>
      </c>
      <c r="H73" t="str">
        <f t="shared" si="1"/>
        <v>72.jpeg</v>
      </c>
    </row>
    <row r="74" spans="1:8" x14ac:dyDescent="0.25">
      <c r="A74" s="12">
        <v>73</v>
      </c>
      <c r="B74" s="13" t="s">
        <v>160</v>
      </c>
      <c r="C74" s="10" t="s">
        <v>161</v>
      </c>
      <c r="D74" s="3" t="str">
        <f>VLOOKUP(C74,[1]Sheet1!$A$4:$C$269,2,0)</f>
        <v>038076011745</v>
      </c>
      <c r="E74" s="6" t="str">
        <f>+VLOOKUP(C74,[1]Sheet1!$A$4:$C$269,3,0)</f>
        <v>tvchung@ktxhcm.edu.vn</v>
      </c>
      <c r="F74" s="11" t="s">
        <v>147</v>
      </c>
      <c r="G74" s="25" t="s">
        <v>386</v>
      </c>
      <c r="H74" t="str">
        <f t="shared" si="1"/>
        <v>73.jpeg</v>
      </c>
    </row>
    <row r="75" spans="1:8" x14ac:dyDescent="0.25">
      <c r="A75" s="12">
        <v>74</v>
      </c>
      <c r="B75" s="13" t="s">
        <v>162</v>
      </c>
      <c r="C75" s="10" t="s">
        <v>163</v>
      </c>
      <c r="D75" s="3" t="str">
        <f>VLOOKUP(C75,[1]Sheet1!$A$4:$C$269,2,0)</f>
        <v>040072007395</v>
      </c>
      <c r="E75" s="6" t="str">
        <f>+VLOOKUP(C75,[1]Sheet1!$A$4:$C$269,3,0)</f>
        <v>nbhuong@ktxhcm.edu.vn</v>
      </c>
      <c r="F75" s="11" t="s">
        <v>147</v>
      </c>
      <c r="G75" s="25" t="s">
        <v>387</v>
      </c>
      <c r="H75" t="str">
        <f t="shared" si="1"/>
        <v>74.jpeg</v>
      </c>
    </row>
    <row r="76" spans="1:8" x14ac:dyDescent="0.25">
      <c r="A76" s="12">
        <v>75</v>
      </c>
      <c r="B76" s="13" t="s">
        <v>164</v>
      </c>
      <c r="C76" s="10" t="s">
        <v>165</v>
      </c>
      <c r="D76" s="3" t="str">
        <f>VLOOKUP(C76,[1]Sheet1!$A$4:$C$269,2,0)</f>
        <v>040191009115</v>
      </c>
      <c r="E76" s="6" t="str">
        <f>+VLOOKUP(C76,[1]Sheet1!$A$4:$C$269,3,0)</f>
        <v>ntphong@ktxhcm.edu.vn</v>
      </c>
      <c r="F76" s="11" t="s">
        <v>147</v>
      </c>
      <c r="G76" s="25" t="e">
        <v>#N/A</v>
      </c>
      <c r="H76" t="str">
        <f t="shared" si="1"/>
        <v>75.jpeg</v>
      </c>
    </row>
    <row r="77" spans="1:8" x14ac:dyDescent="0.25">
      <c r="A77" s="12">
        <v>76</v>
      </c>
      <c r="B77" s="13" t="s">
        <v>166</v>
      </c>
      <c r="C77" s="10" t="s">
        <v>167</v>
      </c>
      <c r="D77" s="3" t="str">
        <f>VLOOKUP(C77,[1]Sheet1!$A$4:$C$269,2,0)</f>
        <v>042082010309</v>
      </c>
      <c r="E77" s="6" t="str">
        <f>+VLOOKUP(C77,[1]Sheet1!$A$4:$C$269,3,0)</f>
        <v>ntban@ktxhcm.edu.vn</v>
      </c>
      <c r="F77" s="11" t="s">
        <v>147</v>
      </c>
      <c r="G77" s="25" t="s">
        <v>388</v>
      </c>
      <c r="H77" t="str">
        <f t="shared" si="1"/>
        <v>76.jpeg</v>
      </c>
    </row>
    <row r="78" spans="1:8" x14ac:dyDescent="0.25">
      <c r="A78" s="12">
        <v>77</v>
      </c>
      <c r="B78" s="13" t="s">
        <v>168</v>
      </c>
      <c r="C78" s="10" t="s">
        <v>169</v>
      </c>
      <c r="D78" s="3" t="str">
        <f>VLOOKUP(C78,[1]Sheet1!$A$4:$C$269,2,0)</f>
        <v>074093005297</v>
      </c>
      <c r="E78" s="6" t="str">
        <f>+VLOOKUP(C78,[1]Sheet1!$A$4:$C$269,3,0)</f>
        <v>tkhoang@ktxhcm.edu.vn</v>
      </c>
      <c r="F78" s="11" t="s">
        <v>147</v>
      </c>
      <c r="G78" s="25" t="s">
        <v>389</v>
      </c>
      <c r="H78" t="str">
        <f t="shared" si="1"/>
        <v>77.jpeg</v>
      </c>
    </row>
    <row r="79" spans="1:8" x14ac:dyDescent="0.25">
      <c r="A79" s="12">
        <v>78</v>
      </c>
      <c r="B79" s="13" t="s">
        <v>170</v>
      </c>
      <c r="C79" s="10" t="s">
        <v>171</v>
      </c>
      <c r="D79" s="3" t="str">
        <f>VLOOKUP(C79,[1]Sheet1!$A$4:$C$269,2,0)</f>
        <v>074094008227</v>
      </c>
      <c r="E79" s="6" t="str">
        <f>+VLOOKUP(C79,[1]Sheet1!$A$4:$C$269,3,0)</f>
        <v>lhvu@ktxhcm.edu.vn</v>
      </c>
      <c r="F79" s="11" t="s">
        <v>147</v>
      </c>
      <c r="G79" s="25" t="s">
        <v>390</v>
      </c>
      <c r="H79" t="str">
        <f t="shared" si="1"/>
        <v>78.jpeg</v>
      </c>
    </row>
    <row r="80" spans="1:8" x14ac:dyDescent="0.25">
      <c r="A80" s="12">
        <v>79</v>
      </c>
      <c r="B80" s="13" t="s">
        <v>172</v>
      </c>
      <c r="C80" s="14" t="s">
        <v>173</v>
      </c>
      <c r="D80" s="3" t="str">
        <f>VLOOKUP(C80,[1]Sheet1!$A$4:$C$269,2,0)</f>
        <v>068180007380</v>
      </c>
      <c r="E80" s="6" t="str">
        <f>+VLOOKUP(C80,[1]Sheet1!$A$4:$C$269,3,0)</f>
        <v>nttrong@ktxhcm.edu.vn</v>
      </c>
      <c r="F80" s="11" t="s">
        <v>174</v>
      </c>
      <c r="G80" s="25" t="s">
        <v>391</v>
      </c>
      <c r="H80" t="str">
        <f t="shared" si="1"/>
        <v>79.jpeg</v>
      </c>
    </row>
    <row r="81" spans="1:8" x14ac:dyDescent="0.25">
      <c r="A81" s="12">
        <v>80</v>
      </c>
      <c r="B81" s="13" t="s">
        <v>175</v>
      </c>
      <c r="C81" s="14" t="s">
        <v>176</v>
      </c>
      <c r="D81" s="3" t="str">
        <f>VLOOKUP(C81,[1]Sheet1!$A$4:$C$269,2,0)</f>
        <v>040182019239</v>
      </c>
      <c r="E81" s="6" t="str">
        <f>+VLOOKUP(C81,[1]Sheet1!$A$4:$C$269,3,0)</f>
        <v>ttxuan@ktxhcm.edu.vn</v>
      </c>
      <c r="F81" s="11" t="s">
        <v>174</v>
      </c>
      <c r="G81" s="25" t="s">
        <v>392</v>
      </c>
      <c r="H81" t="str">
        <f t="shared" si="1"/>
        <v>80.jpeg</v>
      </c>
    </row>
    <row r="82" spans="1:8" x14ac:dyDescent="0.25">
      <c r="A82" s="12">
        <v>81</v>
      </c>
      <c r="B82" s="13" t="s">
        <v>177</v>
      </c>
      <c r="C82" s="14" t="s">
        <v>178</v>
      </c>
      <c r="D82" s="3" t="str">
        <f>VLOOKUP(C82,[1]Sheet1!$A$4:$C$269,2,0)</f>
        <v>015093009761</v>
      </c>
      <c r="E82" s="6" t="str">
        <f>+VLOOKUP(C82,[1]Sheet1!$A$4:$C$269,3,0)</f>
        <v>nvan@ktxhcm.edu.vn</v>
      </c>
      <c r="F82" s="11" t="s">
        <v>174</v>
      </c>
      <c r="G82" s="25" t="s">
        <v>393</v>
      </c>
      <c r="H82" t="str">
        <f t="shared" si="1"/>
        <v>81.jpeg</v>
      </c>
    </row>
    <row r="83" spans="1:8" x14ac:dyDescent="0.25">
      <c r="A83" s="12">
        <v>82</v>
      </c>
      <c r="B83" s="13" t="s">
        <v>179</v>
      </c>
      <c r="C83" s="14" t="s">
        <v>180</v>
      </c>
      <c r="D83" s="3" t="str">
        <f>VLOOKUP(C83,[1]Sheet1!$A$4:$C$269,2,0)</f>
        <v>040099019824</v>
      </c>
      <c r="E83" s="6" t="str">
        <f>+VLOOKUP(C83,[1]Sheet1!$A$4:$C$269,3,0)</f>
        <v>dhduc@ktxhcm.edu.vn</v>
      </c>
      <c r="F83" s="11" t="s">
        <v>174</v>
      </c>
      <c r="G83" s="25" t="s">
        <v>394</v>
      </c>
      <c r="H83" t="str">
        <f t="shared" si="1"/>
        <v>82.jpeg</v>
      </c>
    </row>
    <row r="84" spans="1:8" x14ac:dyDescent="0.25">
      <c r="A84" s="12">
        <v>83</v>
      </c>
      <c r="B84" s="13" t="s">
        <v>181</v>
      </c>
      <c r="C84" s="14" t="s">
        <v>182</v>
      </c>
      <c r="D84" s="3" t="str">
        <f>VLOOKUP(C84,[1]Sheet1!$A$4:$C$269,2,0)</f>
        <v>034083022201</v>
      </c>
      <c r="E84" s="6" t="str">
        <f>+VLOOKUP(C84,[1]Sheet1!$A$4:$C$269,3,0)</f>
        <v>nvkha@ktxhcm.edu.vn</v>
      </c>
      <c r="F84" s="11" t="s">
        <v>174</v>
      </c>
      <c r="G84" s="25" t="s">
        <v>395</v>
      </c>
      <c r="H84" t="str">
        <f t="shared" si="1"/>
        <v>83.jpeg</v>
      </c>
    </row>
    <row r="85" spans="1:8" x14ac:dyDescent="0.25">
      <c r="A85" s="12">
        <v>84</v>
      </c>
      <c r="B85" s="13" t="s">
        <v>183</v>
      </c>
      <c r="C85" s="14" t="s">
        <v>184</v>
      </c>
      <c r="D85" s="3" t="str">
        <f>VLOOKUP(C85,[1]Sheet1!$A$4:$C$269,2,0)</f>
        <v>040179014948</v>
      </c>
      <c r="E85" s="6" t="str">
        <f>+VLOOKUP(C85,[1]Sheet1!$A$4:$C$269,3,0)</f>
        <v>ttxuyen@ktxhcm.edu.vn</v>
      </c>
      <c r="F85" s="11" t="s">
        <v>174</v>
      </c>
      <c r="G85" s="25" t="s">
        <v>396</v>
      </c>
      <c r="H85" t="str">
        <f t="shared" si="1"/>
        <v>84.jpeg</v>
      </c>
    </row>
    <row r="86" spans="1:8" x14ac:dyDescent="0.25">
      <c r="A86" s="12">
        <v>85</v>
      </c>
      <c r="B86" s="13" t="s">
        <v>185</v>
      </c>
      <c r="C86" s="14" t="s">
        <v>186</v>
      </c>
      <c r="D86" s="3" t="str">
        <f>VLOOKUP(C86,[1]Sheet1!$A$4:$C$269,2,0)</f>
        <v>001183056529</v>
      </c>
      <c r="E86" s="6" t="str">
        <f>+VLOOKUP(C86,[1]Sheet1!$A$4:$C$269,3,0)</f>
        <v>htsang@ktxhcm.edu.vn</v>
      </c>
      <c r="F86" s="11" t="s">
        <v>174</v>
      </c>
      <c r="G86" s="25" t="s">
        <v>397</v>
      </c>
      <c r="H86" t="str">
        <f t="shared" si="1"/>
        <v>85.jpeg</v>
      </c>
    </row>
    <row r="87" spans="1:8" x14ac:dyDescent="0.25">
      <c r="A87" s="19">
        <v>86</v>
      </c>
      <c r="B87" s="20" t="s">
        <v>187</v>
      </c>
      <c r="C87" s="21" t="s">
        <v>188</v>
      </c>
      <c r="D87" s="3" t="str">
        <f>VLOOKUP(C87,[1]Sheet1!$A$4:$C$269,2,0)</f>
        <v>074190001352</v>
      </c>
      <c r="E87" s="6" t="str">
        <f>+VLOOKUP(C87,[1]Sheet1!$A$4:$C$269,3,0)</f>
        <v>dththu@ktxhcm.edu.vn</v>
      </c>
      <c r="F87" s="22" t="s">
        <v>189</v>
      </c>
      <c r="G87" s="25" t="s">
        <v>398</v>
      </c>
      <c r="H87" t="str">
        <f t="shared" si="1"/>
        <v>86.jpeg</v>
      </c>
    </row>
    <row r="88" spans="1:8" x14ac:dyDescent="0.25">
      <c r="A88" s="12">
        <v>87</v>
      </c>
      <c r="B88" s="13" t="s">
        <v>190</v>
      </c>
      <c r="C88" s="14" t="s">
        <v>191</v>
      </c>
      <c r="D88" s="3" t="str">
        <f>VLOOKUP(C88,[1]Sheet1!$A$4:$C$269,2,0)</f>
        <v>038183049921</v>
      </c>
      <c r="E88" s="6" t="str">
        <f>+VLOOKUP(C88,[1]Sheet1!$A$4:$C$269,3,0)</f>
        <v>lttan@ktxhcm.edu.vn</v>
      </c>
      <c r="F88" s="22" t="s">
        <v>189</v>
      </c>
      <c r="G88" s="25" t="s">
        <v>399</v>
      </c>
      <c r="H88" t="str">
        <f t="shared" si="1"/>
        <v>87.jpeg</v>
      </c>
    </row>
    <row r="89" spans="1:8" x14ac:dyDescent="0.25">
      <c r="A89" s="12">
        <v>88</v>
      </c>
      <c r="B89" s="13" t="s">
        <v>192</v>
      </c>
      <c r="C89" s="14" t="s">
        <v>193</v>
      </c>
      <c r="D89" s="3" t="str">
        <f>VLOOKUP(C89,[1]Sheet1!$A$4:$C$269,2,0)</f>
        <v>083090012439</v>
      </c>
      <c r="E89" s="6" t="str">
        <f>+VLOOKUP(C89,[1]Sheet1!$A$4:$C$269,3,0)</f>
        <v>nqluat@ktxhcm.edu.vn</v>
      </c>
      <c r="F89" s="22" t="s">
        <v>189</v>
      </c>
      <c r="G89" s="25" t="s">
        <v>400</v>
      </c>
      <c r="H89" t="str">
        <f t="shared" si="1"/>
        <v>88.jpeg</v>
      </c>
    </row>
    <row r="90" spans="1:8" x14ac:dyDescent="0.25">
      <c r="A90" s="12">
        <v>89</v>
      </c>
      <c r="B90" s="13" t="s">
        <v>194</v>
      </c>
      <c r="C90" s="14" t="s">
        <v>195</v>
      </c>
      <c r="D90" s="3" t="str">
        <f>VLOOKUP(C90,[1]Sheet1!$A$4:$C$269,2,0)</f>
        <v>038195006599</v>
      </c>
      <c r="E90" s="6" t="str">
        <f>+VLOOKUP(C90,[1]Sheet1!$A$4:$C$269,3,0)</f>
        <v>tthoai@ktxhcm.edu.vn</v>
      </c>
      <c r="F90" s="22" t="s">
        <v>189</v>
      </c>
      <c r="G90" s="25" t="s">
        <v>401</v>
      </c>
      <c r="H90" t="str">
        <f t="shared" si="1"/>
        <v>89.jpeg</v>
      </c>
    </row>
    <row r="91" spans="1:8" x14ac:dyDescent="0.25">
      <c r="A91" s="12">
        <v>90</v>
      </c>
      <c r="B91" s="13" t="s">
        <v>196</v>
      </c>
      <c r="C91" s="14" t="s">
        <v>197</v>
      </c>
      <c r="D91" s="3" t="str">
        <f>VLOOKUP(C91,[1]Sheet1!$A$4:$C$269,2,0)</f>
        <v>066087003159</v>
      </c>
      <c r="E91" s="6" t="str">
        <f>+VLOOKUP(C91,[1]Sheet1!$A$4:$C$269,3,0)</f>
        <v>hvtinh@ktxhcm.edu.vn</v>
      </c>
      <c r="F91" s="22" t="s">
        <v>189</v>
      </c>
      <c r="G91" s="25" t="s">
        <v>402</v>
      </c>
      <c r="H91" t="str">
        <f t="shared" si="1"/>
        <v>90.jpeg</v>
      </c>
    </row>
    <row r="92" spans="1:8" x14ac:dyDescent="0.25">
      <c r="A92" s="12">
        <v>91</v>
      </c>
      <c r="B92" s="13" t="s">
        <v>198</v>
      </c>
      <c r="C92" s="14" t="s">
        <v>199</v>
      </c>
      <c r="D92" s="3" t="str">
        <f>VLOOKUP(C92,[1]Sheet1!$A$4:$C$269,2,0)</f>
        <v>091182020891</v>
      </c>
      <c r="E92" s="6" t="str">
        <f>+VLOOKUP(C92,[1]Sheet1!$A$4:$C$269,3,0)</f>
        <v>nttho@ktxhcm.edu.vn</v>
      </c>
      <c r="F92" s="22" t="s">
        <v>189</v>
      </c>
      <c r="G92" s="25" t="s">
        <v>403</v>
      </c>
      <c r="H92" t="str">
        <f t="shared" si="1"/>
        <v>91.jpeg</v>
      </c>
    </row>
    <row r="93" spans="1:8" x14ac:dyDescent="0.25">
      <c r="A93" s="12">
        <v>92</v>
      </c>
      <c r="B93" s="13" t="s">
        <v>200</v>
      </c>
      <c r="C93" s="14" t="s">
        <v>201</v>
      </c>
      <c r="D93" s="3" t="str">
        <f>VLOOKUP(C93,[1]Sheet1!$A$4:$C$269,2,0)</f>
        <v>038066026871</v>
      </c>
      <c r="E93" s="6" t="str">
        <f>+VLOOKUP(C93,[1]Sheet1!$A$4:$C$269,3,0)</f>
        <v>dvhang@ktxhcm.edu.vn</v>
      </c>
      <c r="F93" s="22" t="s">
        <v>189</v>
      </c>
      <c r="G93" s="25" t="s">
        <v>404</v>
      </c>
      <c r="H93" t="str">
        <f t="shared" si="1"/>
        <v>92.jpeg</v>
      </c>
    </row>
    <row r="94" spans="1:8" x14ac:dyDescent="0.25">
      <c r="A94" s="12">
        <v>93</v>
      </c>
      <c r="B94" s="13" t="s">
        <v>202</v>
      </c>
      <c r="C94" s="14" t="s">
        <v>203</v>
      </c>
      <c r="D94" s="3" t="str">
        <f>VLOOKUP(C94,[1]Sheet1!$A$4:$C$269,2,0)</f>
        <v>046199001297</v>
      </c>
      <c r="E94" s="6" t="str">
        <f>+VLOOKUP(C94,[1]Sheet1!$A$4:$C$269,3,0)</f>
        <v>tttxuan@ktxhcm.edu.vn</v>
      </c>
      <c r="F94" s="22" t="s">
        <v>189</v>
      </c>
      <c r="G94" s="25" t="s">
        <v>405</v>
      </c>
      <c r="H94" t="str">
        <f t="shared" si="1"/>
        <v>93.jpeg</v>
      </c>
    </row>
    <row r="95" spans="1:8" x14ac:dyDescent="0.25">
      <c r="A95" s="19">
        <v>94</v>
      </c>
      <c r="B95" s="20" t="s">
        <v>204</v>
      </c>
      <c r="C95" s="23" t="s">
        <v>205</v>
      </c>
      <c r="D95" s="3" t="str">
        <f>VLOOKUP(C95,[1]Sheet1!$A$4:$C$269,2,0)</f>
        <v>038085044588</v>
      </c>
      <c r="E95" s="6" t="str">
        <f>+VLOOKUP(C95,[1]Sheet1!$A$4:$C$269,3,0)</f>
        <v>hvcuong@ktxhcm.edu.vn</v>
      </c>
      <c r="F95" s="22" t="s">
        <v>206</v>
      </c>
      <c r="G95" s="25" t="s">
        <v>406</v>
      </c>
      <c r="H95" t="str">
        <f t="shared" si="1"/>
        <v>94.jpeg</v>
      </c>
    </row>
    <row r="96" spans="1:8" x14ac:dyDescent="0.25">
      <c r="A96" s="8">
        <v>95</v>
      </c>
      <c r="B96" s="9" t="s">
        <v>207</v>
      </c>
      <c r="C96" s="14" t="s">
        <v>208</v>
      </c>
      <c r="D96" s="3" t="str">
        <f>VLOOKUP(C96,[1]Sheet1!$A$4:$C$269,2,0)</f>
        <v>038181035670</v>
      </c>
      <c r="E96" s="6" t="str">
        <f>+VLOOKUP(C96,[1]Sheet1!$A$4:$C$269,3,0)</f>
        <v>htnguyet@ktxhcm.edu.vn</v>
      </c>
      <c r="F96" s="22" t="s">
        <v>206</v>
      </c>
      <c r="G96" s="25" t="s">
        <v>407</v>
      </c>
      <c r="H96" t="str">
        <f t="shared" si="1"/>
        <v>95.jpeg</v>
      </c>
    </row>
    <row r="97" spans="1:8" x14ac:dyDescent="0.25">
      <c r="A97" s="8">
        <v>96</v>
      </c>
      <c r="B97" s="9" t="s">
        <v>209</v>
      </c>
      <c r="C97" s="14" t="s">
        <v>210</v>
      </c>
      <c r="D97" s="3" t="str">
        <f>VLOOKUP(C97,[1]Sheet1!$A$4:$C$269,2,0)</f>
        <v>058066003991</v>
      </c>
      <c r="E97" s="6" t="str">
        <f>+VLOOKUP(C97,[1]Sheet1!$A$4:$C$269,3,0)</f>
        <v>npvinh@ktxhcm.edu.vn</v>
      </c>
      <c r="F97" s="22" t="s">
        <v>206</v>
      </c>
      <c r="G97" s="25" t="s">
        <v>408</v>
      </c>
      <c r="H97" t="str">
        <f t="shared" si="1"/>
        <v>96.jpeg</v>
      </c>
    </row>
    <row r="98" spans="1:8" x14ac:dyDescent="0.25">
      <c r="A98" s="8">
        <v>97</v>
      </c>
      <c r="B98" s="9" t="s">
        <v>211</v>
      </c>
      <c r="C98" s="14" t="s">
        <v>212</v>
      </c>
      <c r="D98" s="3" t="str">
        <f>VLOOKUP(C98,[1]Sheet1!$A$4:$C$269,2,0)</f>
        <v>051073018091</v>
      </c>
      <c r="E98" s="6" t="str">
        <f>+VLOOKUP(C98,[1]Sheet1!$A$4:$C$269,3,0)</f>
        <v>ncnhan@ktxhcm.edu.vn</v>
      </c>
      <c r="F98" s="22" t="s">
        <v>206</v>
      </c>
      <c r="G98" s="25" t="e">
        <v>#N/A</v>
      </c>
      <c r="H98" t="str">
        <f t="shared" si="1"/>
        <v>97.jpeg</v>
      </c>
    </row>
    <row r="99" spans="1:8" x14ac:dyDescent="0.25">
      <c r="A99" s="8">
        <v>98</v>
      </c>
      <c r="B99" s="9" t="s">
        <v>213</v>
      </c>
      <c r="C99" s="14" t="s">
        <v>214</v>
      </c>
      <c r="D99" s="3" t="str">
        <f>VLOOKUP(C99,[1]Sheet1!$A$4:$C$269,2,0)</f>
        <v>038069025377</v>
      </c>
      <c r="E99" s="6" t="str">
        <f>+VLOOKUP(C99,[1]Sheet1!$A$4:$C$269,3,0)</f>
        <v>tqbo@ktxhcm.edu.vn</v>
      </c>
      <c r="F99" s="22" t="s">
        <v>206</v>
      </c>
      <c r="G99" s="25" t="s">
        <v>409</v>
      </c>
      <c r="H99" t="str">
        <f t="shared" si="1"/>
        <v>98.jpeg</v>
      </c>
    </row>
    <row r="100" spans="1:8" x14ac:dyDescent="0.25">
      <c r="A100" s="13">
        <v>99</v>
      </c>
      <c r="B100" s="13" t="s">
        <v>215</v>
      </c>
      <c r="C100" s="14" t="s">
        <v>216</v>
      </c>
      <c r="D100" s="3" t="str">
        <f>VLOOKUP(C100,[1]Sheet1!$A$4:$C$269,2,0)</f>
        <v>046087019407</v>
      </c>
      <c r="E100" s="6" t="str">
        <f>+VLOOKUP(C100,[1]Sheet1!$A$4:$C$269,3,0)</f>
        <v>nctrinh@ktxhcm.edu.vn</v>
      </c>
      <c r="F100" s="22" t="s">
        <v>217</v>
      </c>
      <c r="G100" s="25" t="s">
        <v>410</v>
      </c>
      <c r="H100" t="str">
        <f t="shared" si="1"/>
        <v>99.jpeg</v>
      </c>
    </row>
    <row r="101" spans="1:8" x14ac:dyDescent="0.25">
      <c r="A101" s="13">
        <v>100</v>
      </c>
      <c r="B101" s="13" t="s">
        <v>218</v>
      </c>
      <c r="C101" s="14" t="s">
        <v>219</v>
      </c>
      <c r="D101" s="3" t="str">
        <f>VLOOKUP(C101,[1]Sheet1!$A$4:$C$269,2,0)</f>
        <v>048183007442</v>
      </c>
      <c r="E101" s="6" t="str">
        <f>+VLOOKUP(C101,[1]Sheet1!$A$4:$C$269,3,0)</f>
        <v>dtlanh@ktxhcm.edu.vn</v>
      </c>
      <c r="F101" s="22" t="s">
        <v>217</v>
      </c>
      <c r="G101" s="25" t="s">
        <v>411</v>
      </c>
      <c r="H101" t="str">
        <f t="shared" si="1"/>
        <v>100.jpeg</v>
      </c>
    </row>
    <row r="102" spans="1:8" x14ac:dyDescent="0.25">
      <c r="A102" s="13">
        <v>101</v>
      </c>
      <c r="B102" s="13" t="s">
        <v>220</v>
      </c>
      <c r="C102" s="14" t="s">
        <v>221</v>
      </c>
      <c r="D102" s="3" t="str">
        <f>VLOOKUP(C102,[1]Sheet1!$A$4:$C$269,2,0)</f>
        <v>006187001129</v>
      </c>
      <c r="E102" s="6" t="str">
        <f>+VLOOKUP(C102,[1]Sheet1!$A$4:$C$269,3,0)</f>
        <v>nthuyen@ktxhcm.edu.vn</v>
      </c>
      <c r="F102" s="22" t="s">
        <v>217</v>
      </c>
      <c r="G102" s="25" t="s">
        <v>412</v>
      </c>
      <c r="H102" t="str">
        <f t="shared" si="1"/>
        <v>101.jpeg</v>
      </c>
    </row>
    <row r="103" spans="1:8" x14ac:dyDescent="0.25">
      <c r="A103" s="13">
        <v>102</v>
      </c>
      <c r="B103" s="13" t="s">
        <v>222</v>
      </c>
      <c r="C103" s="14" t="s">
        <v>223</v>
      </c>
      <c r="D103" s="3" t="str">
        <f>VLOOKUP(C103,[1]Sheet1!$A$4:$C$269,2,0)</f>
        <v>038189036324</v>
      </c>
      <c r="E103" s="6" t="str">
        <f>+VLOOKUP(C103,[1]Sheet1!$A$4:$C$269,3,0)</f>
        <v>nthuong@ktxhcm.edu.vn</v>
      </c>
      <c r="F103" s="22" t="s">
        <v>217</v>
      </c>
      <c r="G103" s="25" t="s">
        <v>413</v>
      </c>
      <c r="H103" t="str">
        <f t="shared" si="1"/>
        <v>102.jpeg</v>
      </c>
    </row>
    <row r="104" spans="1:8" x14ac:dyDescent="0.25">
      <c r="A104" s="13">
        <v>103</v>
      </c>
      <c r="B104" s="13" t="s">
        <v>224</v>
      </c>
      <c r="C104" s="14" t="s">
        <v>225</v>
      </c>
      <c r="D104" s="3" t="str">
        <f>VLOOKUP(C104,[1]Sheet1!$A$4:$C$269,2,0)</f>
        <v>038187030707</v>
      </c>
      <c r="E104" s="6" t="str">
        <f>+VLOOKUP(C104,[1]Sheet1!$A$4:$C$269,3,0)</f>
        <v>ltthuy@ktxhcm.edu.vn</v>
      </c>
      <c r="F104" s="22" t="s">
        <v>217</v>
      </c>
      <c r="G104" s="25" t="s">
        <v>414</v>
      </c>
      <c r="H104" t="str">
        <f t="shared" si="1"/>
        <v>103.jpeg</v>
      </c>
    </row>
    <row r="105" spans="1:8" x14ac:dyDescent="0.25">
      <c r="A105" s="12">
        <v>104</v>
      </c>
      <c r="B105" s="13" t="s">
        <v>226</v>
      </c>
      <c r="C105" s="14" t="s">
        <v>227</v>
      </c>
      <c r="D105" s="3" t="str">
        <f>VLOOKUP(C105,[1]Sheet1!$A$4:$C$269,2,0)</f>
        <v>052081016886</v>
      </c>
      <c r="E105" s="6" t="str">
        <f>+VLOOKUP(C105,[1]Sheet1!$A$4:$C$269,3,0)</f>
        <v>lvphuc@ktxhcm.edu.vn</v>
      </c>
      <c r="F105" s="22" t="s">
        <v>228</v>
      </c>
      <c r="G105" s="25" t="s">
        <v>415</v>
      </c>
      <c r="H105" t="str">
        <f t="shared" si="1"/>
        <v>104.jpeg</v>
      </c>
    </row>
    <row r="106" spans="1:8" x14ac:dyDescent="0.25">
      <c r="A106" s="12">
        <v>105</v>
      </c>
      <c r="B106" s="13" t="s">
        <v>229</v>
      </c>
      <c r="C106" s="14" t="s">
        <v>230</v>
      </c>
      <c r="D106" s="3" t="str">
        <f>VLOOKUP(C106,[1]Sheet1!$A$4:$C$269,2,0)</f>
        <v>049093015831</v>
      </c>
      <c r="E106" s="6" t="str">
        <f>+VLOOKUP(C106,[1]Sheet1!$A$4:$C$269,3,0)</f>
        <v>tvnhuc@ktxhcm.edu.vn</v>
      </c>
      <c r="F106" s="22" t="s">
        <v>228</v>
      </c>
      <c r="G106" s="25" t="s">
        <v>416</v>
      </c>
      <c r="H106" t="str">
        <f t="shared" si="1"/>
        <v>105.jpeg</v>
      </c>
    </row>
    <row r="107" spans="1:8" x14ac:dyDescent="0.25">
      <c r="A107" s="12">
        <v>106</v>
      </c>
      <c r="B107" s="13" t="s">
        <v>231</v>
      </c>
      <c r="C107" s="14" t="s">
        <v>232</v>
      </c>
      <c r="D107" s="3" t="str">
        <f>VLOOKUP(C107,[1]Sheet1!$A$4:$C$269,2,0)</f>
        <v>038191021461</v>
      </c>
      <c r="E107" s="6" t="str">
        <f>+VLOOKUP(C107,[1]Sheet1!$A$4:$C$269,3,0)</f>
        <v>ntvan@ktxhcm.edu.vn</v>
      </c>
      <c r="F107" s="22" t="s">
        <v>228</v>
      </c>
      <c r="G107" s="25" t="s">
        <v>417</v>
      </c>
      <c r="H107" t="str">
        <f t="shared" si="1"/>
        <v>106.jpeg</v>
      </c>
    </row>
    <row r="108" spans="1:8" x14ac:dyDescent="0.25">
      <c r="A108" s="12">
        <v>107</v>
      </c>
      <c r="B108" s="13" t="s">
        <v>233</v>
      </c>
      <c r="C108" s="14" t="s">
        <v>234</v>
      </c>
      <c r="D108" s="3" t="str">
        <f>VLOOKUP(C108,[1]Sheet1!$A$4:$C$269,2,0)</f>
        <v>038187034586</v>
      </c>
      <c r="E108" s="6" t="str">
        <f>+VLOOKUP(C108,[1]Sheet1!$A$4:$C$269,3,0)</f>
        <v>tpkdung@ktxhcm.edu.vn</v>
      </c>
      <c r="F108" s="22" t="s">
        <v>228</v>
      </c>
      <c r="G108" s="25" t="s">
        <v>418</v>
      </c>
      <c r="H108" t="str">
        <f t="shared" si="1"/>
        <v>107.jpeg</v>
      </c>
    </row>
    <row r="109" spans="1:8" x14ac:dyDescent="0.25">
      <c r="A109" s="12">
        <v>108</v>
      </c>
      <c r="B109" s="13" t="s">
        <v>235</v>
      </c>
      <c r="C109" s="14" t="s">
        <v>236</v>
      </c>
      <c r="D109" s="3" t="str">
        <f>VLOOKUP(C109,[1]Sheet1!$A$4:$C$269,2,0)</f>
        <v>025085011974</v>
      </c>
      <c r="E109" s="6" t="str">
        <f>+VLOOKUP(C109,[1]Sheet1!$A$4:$C$269,3,0)</f>
        <v>nvminh@ktxhcm.edu.vn</v>
      </c>
      <c r="F109" s="22" t="s">
        <v>228</v>
      </c>
      <c r="G109" s="25" t="s">
        <v>419</v>
      </c>
      <c r="H109" t="str">
        <f t="shared" si="1"/>
        <v>108.jpeg</v>
      </c>
    </row>
    <row r="110" spans="1:8" x14ac:dyDescent="0.25">
      <c r="A110" s="12">
        <v>109</v>
      </c>
      <c r="B110" s="13" t="s">
        <v>237</v>
      </c>
      <c r="C110" s="14" t="s">
        <v>238</v>
      </c>
      <c r="D110" s="3" t="str">
        <f>VLOOKUP(C110,[1]Sheet1!$A$4:$C$269,2,0)</f>
        <v>086175000384</v>
      </c>
      <c r="E110" s="6" t="str">
        <f>+VLOOKUP(C110,[1]Sheet1!$A$4:$C$269,3,0)</f>
        <v>ntttrang@ktxhcm.edu.vn</v>
      </c>
      <c r="F110" s="22" t="s">
        <v>239</v>
      </c>
      <c r="G110" s="25" t="s">
        <v>420</v>
      </c>
      <c r="H110" t="str">
        <f t="shared" si="1"/>
        <v>109.jpeg</v>
      </c>
    </row>
    <row r="111" spans="1:8" x14ac:dyDescent="0.25">
      <c r="A111" s="12">
        <v>110</v>
      </c>
      <c r="B111" s="13" t="s">
        <v>240</v>
      </c>
      <c r="C111" s="14" t="s">
        <v>241</v>
      </c>
      <c r="D111" s="3" t="str">
        <f>VLOOKUP(C111,[1]Sheet1!$A$4:$C$269,2,0)</f>
        <v>046082030636</v>
      </c>
      <c r="E111" s="6" t="str">
        <f>+VLOOKUP(C111,[1]Sheet1!$A$4:$C$269,3,0)</f>
        <v>tvchuyen@ktxhcm.edu.vn</v>
      </c>
      <c r="F111" s="22" t="s">
        <v>239</v>
      </c>
      <c r="G111" s="25" t="s">
        <v>421</v>
      </c>
      <c r="H111" t="str">
        <f t="shared" si="1"/>
        <v>110.jpeg</v>
      </c>
    </row>
    <row r="112" spans="1:8" x14ac:dyDescent="0.25">
      <c r="A112" s="12">
        <v>111</v>
      </c>
      <c r="B112" s="13" t="s">
        <v>242</v>
      </c>
      <c r="C112" s="14" t="s">
        <v>243</v>
      </c>
      <c r="D112" s="3" t="str">
        <f>VLOOKUP(C112,[1]Sheet1!$A$4:$C$269,2,0)</f>
        <v>086179003165</v>
      </c>
      <c r="E112" s="6" t="str">
        <f>+VLOOKUP(C112,[1]Sheet1!$A$4:$C$269,3,0)</f>
        <v>ltndung@ktxhcm.edu.vn</v>
      </c>
      <c r="F112" s="22" t="s">
        <v>239</v>
      </c>
      <c r="G112" s="25" t="s">
        <v>422</v>
      </c>
      <c r="H112" t="str">
        <f t="shared" si="1"/>
        <v>111.jpeg</v>
      </c>
    </row>
    <row r="113" spans="1:8" x14ac:dyDescent="0.25">
      <c r="A113" s="12">
        <v>112</v>
      </c>
      <c r="B113" s="13" t="s">
        <v>244</v>
      </c>
      <c r="C113" s="14" t="s">
        <v>245</v>
      </c>
      <c r="D113" s="3" t="str">
        <f>VLOOKUP(C113,[1]Sheet1!$A$4:$C$269,2,0)</f>
        <v>038088008045</v>
      </c>
      <c r="E113" s="6" t="str">
        <f>+VLOOKUP(C113,[1]Sheet1!$A$4:$C$269,3,0)</f>
        <v>lvnam@ktxhcm.edu.vn</v>
      </c>
      <c r="F113" s="22" t="s">
        <v>239</v>
      </c>
      <c r="G113" s="25" t="s">
        <v>423</v>
      </c>
      <c r="H113" t="str">
        <f t="shared" si="1"/>
        <v>112.jpeg</v>
      </c>
    </row>
    <row r="114" spans="1:8" x14ac:dyDescent="0.25">
      <c r="A114" s="12">
        <v>113</v>
      </c>
      <c r="B114" s="13" t="s">
        <v>246</v>
      </c>
      <c r="C114" s="14" t="s">
        <v>247</v>
      </c>
      <c r="D114" s="3" t="str">
        <f>VLOOKUP(C114,[1]Sheet1!$A$4:$C$269,2,0)</f>
        <v>037190015583</v>
      </c>
      <c r="E114" s="6" t="str">
        <f>+VLOOKUP(C114,[1]Sheet1!$A$4:$C$269,3,0)</f>
        <v>ttttho@ktxhcm.edu.vn</v>
      </c>
      <c r="F114" s="22" t="s">
        <v>239</v>
      </c>
      <c r="G114" s="25" t="s">
        <v>424</v>
      </c>
      <c r="H114" t="str">
        <f t="shared" si="1"/>
        <v>113.jpeg</v>
      </c>
    </row>
    <row r="115" spans="1:8" x14ac:dyDescent="0.25">
      <c r="A115" s="12">
        <v>114</v>
      </c>
      <c r="B115" s="13" t="s">
        <v>248</v>
      </c>
      <c r="C115" s="14" t="s">
        <v>249</v>
      </c>
      <c r="D115" s="3" t="str">
        <f>VLOOKUP(C115,[1]Sheet1!$A$4:$C$269,2,0)</f>
        <v>040065002904</v>
      </c>
      <c r="E115" s="6" t="str">
        <f>+VLOOKUP(C115,[1]Sheet1!$A$4:$C$269,3,0)</f>
        <v>nvtrung@ktxhcm.edu.vn</v>
      </c>
      <c r="F115" s="22" t="s">
        <v>250</v>
      </c>
      <c r="G115" s="25" t="s">
        <v>425</v>
      </c>
      <c r="H115" t="str">
        <f t="shared" si="1"/>
        <v>114.jpeg</v>
      </c>
    </row>
    <row r="116" spans="1:8" x14ac:dyDescent="0.25">
      <c r="A116" s="12">
        <v>115</v>
      </c>
      <c r="B116" s="13" t="s">
        <v>251</v>
      </c>
      <c r="C116" s="14" t="s">
        <v>252</v>
      </c>
      <c r="D116" s="3" t="str">
        <f>VLOOKUP(C116,[1]Sheet1!$A$4:$C$269,2,0)</f>
        <v>034078012280</v>
      </c>
      <c r="E116" s="6" t="str">
        <f>+VLOOKUP(C116,[1]Sheet1!$A$4:$C$269,3,0)</f>
        <v>nvnam@ktxhcm.edu.vn</v>
      </c>
      <c r="F116" s="22" t="s">
        <v>250</v>
      </c>
      <c r="G116" s="25" t="s">
        <v>426</v>
      </c>
      <c r="H116" t="str">
        <f t="shared" si="1"/>
        <v>115.jpeg</v>
      </c>
    </row>
    <row r="117" spans="1:8" x14ac:dyDescent="0.25">
      <c r="A117" s="12">
        <v>116</v>
      </c>
      <c r="B117" s="13" t="s">
        <v>253</v>
      </c>
      <c r="C117" s="14" t="s">
        <v>254</v>
      </c>
      <c r="D117" s="3" t="str">
        <f>VLOOKUP(C117,[1]Sheet1!$A$4:$C$269,2,0)</f>
        <v>034086007258</v>
      </c>
      <c r="E117" s="6" t="str">
        <f>+VLOOKUP(C117,[1]Sheet1!$A$4:$C$269,3,0)</f>
        <v>pvphong@ktxhcm.edu.vn</v>
      </c>
      <c r="F117" s="22" t="s">
        <v>250</v>
      </c>
      <c r="G117" s="25" t="s">
        <v>427</v>
      </c>
      <c r="H117" t="str">
        <f t="shared" si="1"/>
        <v>116.jpeg</v>
      </c>
    </row>
    <row r="118" spans="1:8" x14ac:dyDescent="0.25">
      <c r="A118" s="12">
        <v>117</v>
      </c>
      <c r="B118" s="13" t="s">
        <v>255</v>
      </c>
      <c r="C118" s="14" t="s">
        <v>256</v>
      </c>
      <c r="D118" s="3" t="str">
        <f>VLOOKUP(C118,[1]Sheet1!$A$4:$C$269,2,0)</f>
        <v>040089015077</v>
      </c>
      <c r="E118" s="6" t="str">
        <f>+VLOOKUP(C118,[1]Sheet1!$A$4:$C$269,3,0)</f>
        <v>hxky@ktxhcm.edu.vn</v>
      </c>
      <c r="F118" s="22" t="s">
        <v>250</v>
      </c>
      <c r="G118" s="25" t="s">
        <v>428</v>
      </c>
      <c r="H118" t="str">
        <f t="shared" si="1"/>
        <v>117.jpeg</v>
      </c>
    </row>
    <row r="119" spans="1:8" x14ac:dyDescent="0.25">
      <c r="A119" s="12">
        <v>118</v>
      </c>
      <c r="B119" s="13" t="s">
        <v>257</v>
      </c>
      <c r="C119" s="14" t="s">
        <v>258</v>
      </c>
      <c r="D119" s="3" t="str">
        <f>VLOOKUP(C119,[1]Sheet1!$A$4:$C$269,2,0)</f>
        <v>079095024301</v>
      </c>
      <c r="E119" s="6" t="str">
        <f>+VLOOKUP(C119,[1]Sheet1!$A$4:$C$269,3,0)</f>
        <v>ndduc@ktxhcm.edu.vn</v>
      </c>
      <c r="F119" s="22" t="s">
        <v>250</v>
      </c>
      <c r="G119" s="25" t="s">
        <v>429</v>
      </c>
      <c r="H119" t="str">
        <f t="shared" si="1"/>
        <v>118.jpeg</v>
      </c>
    </row>
    <row r="120" spans="1:8" x14ac:dyDescent="0.25">
      <c r="A120" s="12">
        <v>119</v>
      </c>
      <c r="B120" s="13" t="s">
        <v>259</v>
      </c>
      <c r="C120" s="14" t="s">
        <v>260</v>
      </c>
      <c r="D120" s="3" t="str">
        <f>VLOOKUP(C120,[1]Sheet1!$A$4:$C$269,2,0)</f>
        <v>079077032298</v>
      </c>
      <c r="E120" s="6" t="str">
        <f>+VLOOKUP(C120,[1]Sheet1!$A$4:$C$269,3,0)</f>
        <v>lmthao@ktxhcm.edu.vn</v>
      </c>
      <c r="F120" s="22" t="s">
        <v>261</v>
      </c>
      <c r="G120" s="25" t="s">
        <v>430</v>
      </c>
      <c r="H120" t="str">
        <f t="shared" si="1"/>
        <v>119.jpeg</v>
      </c>
    </row>
    <row r="121" spans="1:8" x14ac:dyDescent="0.25">
      <c r="A121" s="12">
        <v>120</v>
      </c>
      <c r="B121" s="13" t="s">
        <v>262</v>
      </c>
      <c r="C121" s="10" t="s">
        <v>263</v>
      </c>
      <c r="D121" s="3" t="str">
        <f>VLOOKUP(C121,[1]Sheet1!$A$4:$C$269,2,0)</f>
        <v>025183019868</v>
      </c>
      <c r="E121" s="6" t="str">
        <f>+VLOOKUP(C121,[1]Sheet1!$A$4:$C$269,3,0)</f>
        <v>ttyen@ktxhcm.edu.vn</v>
      </c>
      <c r="F121" s="22" t="s">
        <v>261</v>
      </c>
      <c r="G121" s="25" t="s">
        <v>431</v>
      </c>
      <c r="H121" t="str">
        <f t="shared" si="1"/>
        <v>120.jpeg</v>
      </c>
    </row>
    <row r="122" spans="1:8" x14ac:dyDescent="0.25">
      <c r="A122" s="12">
        <v>121</v>
      </c>
      <c r="B122" s="13" t="s">
        <v>264</v>
      </c>
      <c r="C122" s="10" t="s">
        <v>265</v>
      </c>
      <c r="D122" s="3" t="str">
        <f>VLOOKUP(C122,[1]Sheet1!$A$4:$C$269,2,0)</f>
        <v>052081017316</v>
      </c>
      <c r="E122" s="6" t="str">
        <f>+VLOOKUP(C122,[1]Sheet1!$A$4:$C$269,3,0)</f>
        <v>ntdiep@ktxhcm.edu.vn</v>
      </c>
      <c r="F122" s="22" t="s">
        <v>261</v>
      </c>
      <c r="G122" s="25" t="s">
        <v>432</v>
      </c>
      <c r="H122" t="str">
        <f t="shared" si="1"/>
        <v>121.jpeg</v>
      </c>
    </row>
    <row r="123" spans="1:8" x14ac:dyDescent="0.25">
      <c r="A123" s="12">
        <v>122</v>
      </c>
      <c r="B123" s="13" t="s">
        <v>266</v>
      </c>
      <c r="C123" s="10" t="s">
        <v>267</v>
      </c>
      <c r="D123" s="3" t="str">
        <f>VLOOKUP(C123,[1]Sheet1!$A$4:$C$269,2,0)</f>
        <v>034194019429</v>
      </c>
      <c r="E123" s="6" t="str">
        <f>+VLOOKUP(C123,[1]Sheet1!$A$4:$C$269,3,0)</f>
        <v>cthoa@ktxhcm.edu.vn</v>
      </c>
      <c r="F123" s="22" t="s">
        <v>261</v>
      </c>
      <c r="G123" s="25" t="s">
        <v>433</v>
      </c>
      <c r="H123" t="str">
        <f t="shared" si="1"/>
        <v>122.jpeg</v>
      </c>
    </row>
    <row r="124" spans="1:8" x14ac:dyDescent="0.25">
      <c r="A124" s="12">
        <v>123</v>
      </c>
      <c r="B124" s="13" t="s">
        <v>268</v>
      </c>
      <c r="C124" s="10" t="s">
        <v>36</v>
      </c>
      <c r="D124" s="3" t="str">
        <f>VLOOKUP(C124,[1]Sheet1!$A$4:$C$269,2,0)</f>
        <v>044197002221</v>
      </c>
      <c r="E124" s="6" t="str">
        <f>+VLOOKUP(C124,[1]Sheet1!$A$4:$C$269,3,0)</f>
        <v>trangltt@ktxhcm.edu.vn</v>
      </c>
      <c r="F124" s="22" t="s">
        <v>261</v>
      </c>
      <c r="G124" s="25" t="s">
        <v>327</v>
      </c>
      <c r="H124" t="str">
        <f t="shared" si="1"/>
        <v>123.jpeg</v>
      </c>
    </row>
    <row r="125" spans="1:8" x14ac:dyDescent="0.25">
      <c r="A125" s="12">
        <v>124</v>
      </c>
      <c r="B125" s="13" t="s">
        <v>269</v>
      </c>
      <c r="C125" s="10" t="s">
        <v>270</v>
      </c>
      <c r="D125" s="3" t="str">
        <f>VLOOKUP(C125,[1]Sheet1!$A$4:$C$269,2,0)</f>
        <v>083300006806</v>
      </c>
      <c r="E125" s="24" t="s">
        <v>271</v>
      </c>
      <c r="F125" s="22" t="s">
        <v>261</v>
      </c>
      <c r="G125" s="25" t="s">
        <v>434</v>
      </c>
      <c r="H125" t="str">
        <f t="shared" si="1"/>
        <v>124.jpeg</v>
      </c>
    </row>
    <row r="126" spans="1:8" x14ac:dyDescent="0.25">
      <c r="A126" s="12">
        <v>125</v>
      </c>
      <c r="B126" s="13" t="s">
        <v>272</v>
      </c>
      <c r="C126" s="14" t="s">
        <v>273</v>
      </c>
      <c r="D126" s="3" t="str">
        <f>VLOOKUP(C126,[1]Sheet1!$A$4:$C$269,2,0)</f>
        <v>054175002772</v>
      </c>
      <c r="E126" s="6" t="str">
        <f>+VLOOKUP(C126,[1]Sheet1!$A$4:$C$269,3,0)</f>
        <v>tttuyet@ktxhcm.edu.vn</v>
      </c>
      <c r="F126" s="11" t="s">
        <v>22</v>
      </c>
      <c r="G126" s="25" t="s">
        <v>435</v>
      </c>
      <c r="H126" t="str">
        <f t="shared" si="1"/>
        <v>125.jpeg</v>
      </c>
    </row>
    <row r="127" spans="1:8" x14ac:dyDescent="0.25">
      <c r="A127" s="12">
        <v>126</v>
      </c>
      <c r="B127" s="13" t="s">
        <v>274</v>
      </c>
      <c r="C127" s="14" t="s">
        <v>275</v>
      </c>
      <c r="D127" s="3" t="str">
        <f>VLOOKUP(C127,[1]Sheet1!$A$4:$C$269,2,0)</f>
        <v>034300011409</v>
      </c>
      <c r="E127" s="6" t="str">
        <f>+VLOOKUP(C127,[1]Sheet1!$A$4:$C$269,3,0)</f>
        <v>ntdung@ktxhcm.edu.vn</v>
      </c>
      <c r="F127" s="11" t="s">
        <v>43</v>
      </c>
      <c r="G127" s="25" t="s">
        <v>436</v>
      </c>
      <c r="H127" t="str">
        <f t="shared" si="1"/>
        <v>126.jpeg</v>
      </c>
    </row>
    <row r="128" spans="1:8" x14ac:dyDescent="0.25">
      <c r="A128" s="12">
        <v>127</v>
      </c>
      <c r="B128" s="13" t="s">
        <v>276</v>
      </c>
      <c r="C128" s="14" t="s">
        <v>277</v>
      </c>
      <c r="D128" s="3" t="str">
        <f>VLOOKUP(C128,[1]Sheet1!$A$4:$C$269,2,0)</f>
        <v>056183001368</v>
      </c>
      <c r="E128" s="6" t="s">
        <v>278</v>
      </c>
      <c r="F128" s="11" t="s">
        <v>63</v>
      </c>
      <c r="G128" s="25" t="s">
        <v>437</v>
      </c>
      <c r="H128" t="str">
        <f t="shared" si="1"/>
        <v>127.jpeg</v>
      </c>
    </row>
    <row r="129" spans="1:8" x14ac:dyDescent="0.25">
      <c r="A129" s="12">
        <v>128</v>
      </c>
      <c r="B129" s="13" t="s">
        <v>279</v>
      </c>
      <c r="C129" s="14" t="s">
        <v>280</v>
      </c>
      <c r="D129" s="3" t="str">
        <f>VLOOKUP(C129,[1]Sheet1!$A$4:$C$269,2,0)</f>
        <v>051078007200</v>
      </c>
      <c r="E129" s="6" t="str">
        <f>+VLOOKUP(C129,[1]Sheet1!$A$4:$C$269,3,0)</f>
        <v>pnvy@ktxhcm.edu.vn</v>
      </c>
      <c r="F129" s="11" t="s">
        <v>63</v>
      </c>
      <c r="G129" s="25" t="s">
        <v>438</v>
      </c>
      <c r="H129" t="str">
        <f t="shared" si="1"/>
        <v>128.jpeg</v>
      </c>
    </row>
    <row r="130" spans="1:8" x14ac:dyDescent="0.25">
      <c r="A130" s="12">
        <v>129</v>
      </c>
      <c r="B130" s="13" t="s">
        <v>281</v>
      </c>
      <c r="C130" s="14" t="s">
        <v>282</v>
      </c>
      <c r="D130" s="3" t="str">
        <f>VLOOKUP(C130,[1]Sheet1!$A$4:$C$269,2,0)</f>
        <v>052092020863</v>
      </c>
      <c r="E130" s="24" t="s">
        <v>283</v>
      </c>
      <c r="F130" s="11" t="s">
        <v>84</v>
      </c>
      <c r="G130" s="25" t="s">
        <v>439</v>
      </c>
      <c r="H130" t="str">
        <f t="shared" si="1"/>
        <v>129.jpeg</v>
      </c>
    </row>
    <row r="131" spans="1:8" x14ac:dyDescent="0.25">
      <c r="A131" s="12">
        <v>130</v>
      </c>
      <c r="B131" s="13" t="s">
        <v>284</v>
      </c>
      <c r="C131" s="14" t="s">
        <v>285</v>
      </c>
      <c r="D131" s="3" t="str">
        <f>VLOOKUP(C131,[1]Sheet1!$A$4:$C$269,2,0)</f>
        <v>083199009430</v>
      </c>
      <c r="E131" s="6" t="str">
        <f>+VLOOKUP(C131,[1]Sheet1!$A$4:$C$269,3,0)</f>
        <v>thngan@ktxhcm.edu.vn</v>
      </c>
      <c r="F131" s="11" t="s">
        <v>93</v>
      </c>
      <c r="G131" s="25" t="s">
        <v>440</v>
      </c>
      <c r="H131" t="str">
        <f t="shared" ref="H131:H144" si="2">A131&amp;".jpeg"</f>
        <v>130.jpeg</v>
      </c>
    </row>
    <row r="132" spans="1:8" x14ac:dyDescent="0.25">
      <c r="A132" s="12">
        <v>131</v>
      </c>
      <c r="B132" s="13" t="s">
        <v>286</v>
      </c>
      <c r="C132" s="14" t="s">
        <v>287</v>
      </c>
      <c r="D132" s="3" t="str">
        <f>VLOOKUP(C132,[1]Sheet1!$A$4:$C$269,2,0)</f>
        <v>049084001304</v>
      </c>
      <c r="E132" s="6" t="str">
        <f>+VLOOKUP(C132,[1]Sheet1!$A$4:$C$269,3,0)</f>
        <v>lnvu@ktxhcm.edu.vn</v>
      </c>
      <c r="F132" s="11" t="s">
        <v>93</v>
      </c>
      <c r="G132" s="25" t="s">
        <v>441</v>
      </c>
      <c r="H132" t="str">
        <f t="shared" si="2"/>
        <v>131.jpeg</v>
      </c>
    </row>
    <row r="133" spans="1:8" x14ac:dyDescent="0.25">
      <c r="A133" s="12">
        <v>132</v>
      </c>
      <c r="B133" s="13" t="s">
        <v>288</v>
      </c>
      <c r="C133" s="10" t="s">
        <v>289</v>
      </c>
      <c r="D133" s="3" t="str">
        <f>VLOOKUP(C133,[1]Sheet1!$A$4:$C$269,2,0)</f>
        <v>037184012609</v>
      </c>
      <c r="E133" s="6" t="str">
        <f>+VLOOKUP(C133,[1]Sheet1!$A$4:$C$269,3,0)</f>
        <v>vtchinh@ktxhcm.edu.vn</v>
      </c>
      <c r="F133" s="11" t="s">
        <v>116</v>
      </c>
      <c r="G133" s="25" t="s">
        <v>442</v>
      </c>
      <c r="H133" t="str">
        <f t="shared" si="2"/>
        <v>132.jpeg</v>
      </c>
    </row>
    <row r="134" spans="1:8" x14ac:dyDescent="0.25">
      <c r="A134" s="12">
        <v>133</v>
      </c>
      <c r="B134" s="13" t="s">
        <v>290</v>
      </c>
      <c r="C134" s="14" t="s">
        <v>291</v>
      </c>
      <c r="D134" s="3" t="str">
        <f>VLOOKUP(C134,[1]Sheet1!$A$4:$C$269,2,0)</f>
        <v xml:space="preserve">042084004624 </v>
      </c>
      <c r="E134" s="6" t="str">
        <f>+VLOOKUP(C134,[1]Sheet1!$A$4:$C$269,3,0)</f>
        <v>nhhai@ktxhcm.edu.vn</v>
      </c>
      <c r="F134" s="11" t="s">
        <v>116</v>
      </c>
      <c r="G134" s="25" t="s">
        <v>443</v>
      </c>
      <c r="H134" t="str">
        <f t="shared" si="2"/>
        <v>133.jpeg</v>
      </c>
    </row>
    <row r="135" spans="1:8" x14ac:dyDescent="0.25">
      <c r="A135" s="12">
        <v>134</v>
      </c>
      <c r="B135" s="13" t="s">
        <v>292</v>
      </c>
      <c r="C135" s="14" t="s">
        <v>293</v>
      </c>
      <c r="D135" s="3" t="str">
        <f>VLOOKUP(C135,[1]Sheet1!$A$4:$C$269,2,0)</f>
        <v>068082008364</v>
      </c>
      <c r="E135" s="6" t="str">
        <f>+VLOOKUP(C135,[1]Sheet1!$A$4:$C$269,3,0)</f>
        <v>nmnhat@ktxhcm.edu.vn</v>
      </c>
      <c r="F135" s="11" t="s">
        <v>147</v>
      </c>
      <c r="G135" s="25" t="s">
        <v>444</v>
      </c>
      <c r="H135" t="str">
        <f t="shared" si="2"/>
        <v>134.jpeg</v>
      </c>
    </row>
    <row r="136" spans="1:8" x14ac:dyDescent="0.25">
      <c r="A136" s="12">
        <v>135</v>
      </c>
      <c r="B136" s="13" t="s">
        <v>294</v>
      </c>
      <c r="C136" s="14" t="s">
        <v>295</v>
      </c>
      <c r="D136" s="3" t="str">
        <f>VLOOKUP(C136,[1]Sheet1!$A$4:$C$269,2,0)</f>
        <v>074084008367</v>
      </c>
      <c r="E136" s="6" t="str">
        <f>+VLOOKUP(C136,[1]Sheet1!$A$4:$C$269,3,0)</f>
        <v>ntcdanh@ktxhcm.edu.vn</v>
      </c>
      <c r="F136" s="11" t="s">
        <v>147</v>
      </c>
      <c r="G136" s="25" t="s">
        <v>445</v>
      </c>
      <c r="H136" t="str">
        <f t="shared" si="2"/>
        <v>135.jpeg</v>
      </c>
    </row>
    <row r="137" spans="1:8" x14ac:dyDescent="0.25">
      <c r="A137" s="12">
        <v>136</v>
      </c>
      <c r="B137" s="13" t="s">
        <v>296</v>
      </c>
      <c r="C137" s="10" t="s">
        <v>36</v>
      </c>
      <c r="D137" s="4" t="s">
        <v>297</v>
      </c>
      <c r="E137" s="6" t="s">
        <v>298</v>
      </c>
      <c r="F137" s="11" t="s">
        <v>174</v>
      </c>
      <c r="G137" s="25" t="s">
        <v>446</v>
      </c>
      <c r="H137" t="str">
        <f t="shared" si="2"/>
        <v>136.jpeg</v>
      </c>
    </row>
    <row r="138" spans="1:8" x14ac:dyDescent="0.25">
      <c r="A138" s="12">
        <v>137</v>
      </c>
      <c r="B138" s="13" t="s">
        <v>299</v>
      </c>
      <c r="C138" s="17" t="s">
        <v>300</v>
      </c>
      <c r="D138" s="3" t="str">
        <f>VLOOKUP(C138,[1]Sheet1!$A$4:$C$269,2,0)</f>
        <v>049195012354</v>
      </c>
      <c r="E138" s="6" t="str">
        <f>+VLOOKUP(C138,[1]Sheet1!$A$4:$C$269,3,0)</f>
        <v>ntkmy@ktxhcm.edu.vn</v>
      </c>
      <c r="F138" s="11" t="s">
        <v>189</v>
      </c>
      <c r="G138" s="25" t="s">
        <v>447</v>
      </c>
      <c r="H138" t="str">
        <f t="shared" si="2"/>
        <v>137.jpeg</v>
      </c>
    </row>
    <row r="139" spans="1:8" x14ac:dyDescent="0.25">
      <c r="A139" s="12">
        <v>138</v>
      </c>
      <c r="B139" s="13" t="s">
        <v>301</v>
      </c>
      <c r="C139" s="14" t="s">
        <v>302</v>
      </c>
      <c r="D139" s="3" t="str">
        <f>VLOOKUP(C139,[1]Sheet1!$A$4:$C$269,2,0)</f>
        <v>042087005379</v>
      </c>
      <c r="E139" s="6" t="str">
        <f>+VLOOKUP(C139,[1]Sheet1!$A$4:$C$269,3,0)</f>
        <v>tduong@ktxhcm.edu.vn</v>
      </c>
      <c r="F139" s="11" t="s">
        <v>206</v>
      </c>
      <c r="G139" s="25" t="s">
        <v>448</v>
      </c>
      <c r="H139" t="str">
        <f t="shared" si="2"/>
        <v>138.jpeg</v>
      </c>
    </row>
    <row r="140" spans="1:8" x14ac:dyDescent="0.25">
      <c r="A140" s="12">
        <v>139</v>
      </c>
      <c r="B140" s="13" t="s">
        <v>303</v>
      </c>
      <c r="C140" s="14" t="s">
        <v>304</v>
      </c>
      <c r="D140" s="3" t="str">
        <f>VLOOKUP(C140,[1]Sheet1!$A$4:$C$269,2,0)</f>
        <v>045083001473</v>
      </c>
      <c r="E140" s="6" t="str">
        <f>+VLOOKUP(C140,[1]Sheet1!$A$4:$C$269,3,0)</f>
        <v>pxtruyen@ktxhcm.edu.vn</v>
      </c>
      <c r="F140" s="11" t="s">
        <v>217</v>
      </c>
      <c r="G140" s="25" t="s">
        <v>449</v>
      </c>
      <c r="H140" t="str">
        <f t="shared" si="2"/>
        <v>139.jpeg</v>
      </c>
    </row>
    <row r="141" spans="1:8" x14ac:dyDescent="0.25">
      <c r="A141" s="12">
        <v>140</v>
      </c>
      <c r="B141" s="13" t="s">
        <v>305</v>
      </c>
      <c r="C141" s="17" t="s">
        <v>306</v>
      </c>
      <c r="D141" s="3" t="str">
        <f>VLOOKUP(C141,[1]Sheet1!$A$4:$C$269,2,0)</f>
        <v>091079005838</v>
      </c>
      <c r="E141" s="6" t="str">
        <f>+VLOOKUP(C141,[1]Sheet1!$A$4:$C$269,3,0)</f>
        <v>htliet@ktxhcm.edu.vn</v>
      </c>
      <c r="F141" s="11" t="s">
        <v>228</v>
      </c>
      <c r="G141" s="25" t="s">
        <v>450</v>
      </c>
      <c r="H141" t="str">
        <f t="shared" si="2"/>
        <v>140.jpeg</v>
      </c>
    </row>
    <row r="142" spans="1:8" x14ac:dyDescent="0.25">
      <c r="A142" s="12">
        <v>141</v>
      </c>
      <c r="B142" s="13" t="s">
        <v>307</v>
      </c>
      <c r="C142" s="17" t="s">
        <v>308</v>
      </c>
      <c r="D142" s="3" t="str">
        <f>VLOOKUP(C142,[1]Sheet1!$A$4:$C$269,2,0)</f>
        <v>042085020811</v>
      </c>
      <c r="E142" s="6" t="str">
        <f>+VLOOKUP(C142,[1]Sheet1!$A$4:$C$269,3,0)</f>
        <v>hlson@ktxhcm.edu.vn</v>
      </c>
      <c r="F142" s="11" t="s">
        <v>239</v>
      </c>
      <c r="G142" s="25" t="s">
        <v>451</v>
      </c>
      <c r="H142" t="str">
        <f t="shared" si="2"/>
        <v>141.jpeg</v>
      </c>
    </row>
    <row r="143" spans="1:8" x14ac:dyDescent="0.25">
      <c r="A143" s="12">
        <v>142</v>
      </c>
      <c r="B143" s="13" t="s">
        <v>309</v>
      </c>
      <c r="C143" s="14" t="s">
        <v>310</v>
      </c>
      <c r="D143" s="3" t="str">
        <f>VLOOKUP(C143,[1]Sheet1!$A$4:$C$269,2,0)</f>
        <v>038192032078</v>
      </c>
      <c r="E143" s="6" t="str">
        <f>+VLOOKUP(C143,[1]Sheet1!$A$4:$C$269,3,0)</f>
        <v>dttrang@ktxhcm.edu.vn</v>
      </c>
      <c r="F143" s="11" t="s">
        <v>250</v>
      </c>
      <c r="G143" s="25" t="s">
        <v>452</v>
      </c>
      <c r="H143" t="str">
        <f t="shared" si="2"/>
        <v>142.jpeg</v>
      </c>
    </row>
    <row r="144" spans="1:8" x14ac:dyDescent="0.25">
      <c r="A144" s="12">
        <v>143</v>
      </c>
      <c r="B144" s="13" t="s">
        <v>311</v>
      </c>
      <c r="C144" s="10" t="s">
        <v>312</v>
      </c>
      <c r="D144" s="3" t="str">
        <f>VLOOKUP(C144,[1]Sheet1!$A$4:$C$269,2,0)</f>
        <v>030066005058</v>
      </c>
      <c r="E144" s="6" t="str">
        <f>+VLOOKUP(C144,[1]Sheet1!$A$4:$C$269,3,0)</f>
        <v>ddthien@ktxhcm.edu.vn</v>
      </c>
      <c r="F144" s="11" t="s">
        <v>261</v>
      </c>
      <c r="G144" s="25" t="s">
        <v>453</v>
      </c>
      <c r="H144" t="str">
        <f t="shared" si="2"/>
        <v>143.jpeg</v>
      </c>
    </row>
  </sheetData>
  <hyperlinks>
    <hyperlink ref="E125" r:id="rId1" xr:uid="{BE31FF6F-26FA-4201-B0B9-AFE213FCC367}"/>
    <hyperlink ref="E130" r:id="rId2" xr:uid="{86CF8416-2E1B-4901-9D9B-DD51CFC3080E}"/>
    <hyperlink ref="E128" r:id="rId3" xr:uid="{5EAE4C59-66D3-4440-ADD2-CFCE0444C1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Thìn Phan</dc:creator>
  <cp:lastModifiedBy>Văn Thìn Phan</cp:lastModifiedBy>
  <dcterms:created xsi:type="dcterms:W3CDTF">2025-12-29T03:11:11Z</dcterms:created>
  <dcterms:modified xsi:type="dcterms:W3CDTF">2025-12-29T03:17:22Z</dcterms:modified>
</cp:coreProperties>
</file>