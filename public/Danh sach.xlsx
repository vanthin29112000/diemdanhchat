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thin\Desktop\project\app điểm danh sự kiện\public\"/>
    </mc:Choice>
  </mc:AlternateContent>
  <xr:revisionPtr revIDLastSave="0" documentId="13_ncr:1_{89146146-BD39-47CD-AC27-60530D7BBFA0}" xr6:coauthVersionLast="47" xr6:coauthVersionMax="47" xr10:uidLastSave="{00000000-0000-0000-0000-000000000000}"/>
  <bookViews>
    <workbookView xWindow="-120" yWindow="-120" windowWidth="29040" windowHeight="15720" xr2:uid="{40C3B16C-8F90-475C-B492-872F332B07DF}"/>
  </bookViews>
  <sheets>
    <sheet name="Sheet1" sheetId="1" r:id="rId1"/>
    <sheet name="DS ĐB chính thức 2025" sheetId="3" r:id="rId2"/>
    <sheet name="Sheet2" sheetId="2" r:id="rId3"/>
    <sheet name="Sheet3" sheetId="4" r:id="rId4"/>
  </sheets>
  <externalReferences>
    <externalReference r:id="rId5"/>
    <externalReference r:id="rId6"/>
  </externalReferences>
  <definedNames>
    <definedName name="_xlnm._FilterDatabase" localSheetId="1" hidden="1">'DS ĐB chính thức 2025'!$A$1:$J$144</definedName>
    <definedName name="_xlnm._FilterDatabase" localSheetId="0" hidden="1">Sheet1!$A$1:$H$1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0" i="1" l="1"/>
  <c r="C115" i="1"/>
  <c r="C110" i="1"/>
  <c r="C105" i="1"/>
  <c r="C100" i="1"/>
  <c r="C95" i="1"/>
  <c r="C88" i="1"/>
  <c r="C80" i="1"/>
  <c r="C67" i="1"/>
  <c r="C52" i="1"/>
  <c r="E144" i="3"/>
  <c r="D144" i="3"/>
  <c r="J144" i="3" s="1"/>
  <c r="E143" i="3"/>
  <c r="D143" i="3"/>
  <c r="J143" i="3" s="1"/>
  <c r="E142" i="3"/>
  <c r="D142" i="3"/>
  <c r="J142" i="3" s="1"/>
  <c r="E141" i="3"/>
  <c r="D141" i="3"/>
  <c r="J141" i="3" s="1"/>
  <c r="E140" i="3"/>
  <c r="D140" i="3"/>
  <c r="J140" i="3" s="1"/>
  <c r="E139" i="3"/>
  <c r="D139" i="3"/>
  <c r="J139" i="3" s="1"/>
  <c r="E138" i="3"/>
  <c r="D138" i="3"/>
  <c r="J138" i="3" s="1"/>
  <c r="J137" i="3"/>
  <c r="E136" i="3"/>
  <c r="D136" i="3"/>
  <c r="J136" i="3" s="1"/>
  <c r="E135" i="3"/>
  <c r="D135" i="3"/>
  <c r="J135" i="3" s="1"/>
  <c r="J134" i="3"/>
  <c r="E134" i="3"/>
  <c r="D134" i="3"/>
  <c r="E133" i="3"/>
  <c r="D133" i="3"/>
  <c r="J133" i="3" s="1"/>
  <c r="E132" i="3"/>
  <c r="D132" i="3"/>
  <c r="J132" i="3" s="1"/>
  <c r="E131" i="3"/>
  <c r="D131" i="3"/>
  <c r="J131" i="3" s="1"/>
  <c r="D130" i="3"/>
  <c r="J130" i="3" s="1"/>
  <c r="E129" i="3"/>
  <c r="D129" i="3"/>
  <c r="J129" i="3" s="1"/>
  <c r="D128" i="3"/>
  <c r="J128" i="3" s="1"/>
  <c r="E127" i="3"/>
  <c r="D127" i="3"/>
  <c r="J127" i="3" s="1"/>
  <c r="E126" i="3"/>
  <c r="D126" i="3"/>
  <c r="J126" i="3" s="1"/>
  <c r="D125" i="3"/>
  <c r="J125" i="3" s="1"/>
  <c r="E124" i="3"/>
  <c r="D124" i="3"/>
  <c r="J124" i="3" s="1"/>
  <c r="E123" i="3"/>
  <c r="D123" i="3"/>
  <c r="J123" i="3" s="1"/>
  <c r="E122" i="3"/>
  <c r="D122" i="3"/>
  <c r="J122" i="3" s="1"/>
  <c r="E121" i="3"/>
  <c r="D121" i="3"/>
  <c r="J121" i="3" s="1"/>
  <c r="E120" i="3"/>
  <c r="D120" i="3"/>
  <c r="J120" i="3" s="1"/>
  <c r="E119" i="3"/>
  <c r="D119" i="3"/>
  <c r="J119" i="3" s="1"/>
  <c r="E118" i="3"/>
  <c r="D118" i="3"/>
  <c r="J118" i="3" s="1"/>
  <c r="E117" i="3"/>
  <c r="D117" i="3"/>
  <c r="J117" i="3" s="1"/>
  <c r="E116" i="3"/>
  <c r="D116" i="3"/>
  <c r="J116" i="3" s="1"/>
  <c r="E115" i="3"/>
  <c r="D115" i="3"/>
  <c r="J115" i="3" s="1"/>
  <c r="E114" i="3"/>
  <c r="D114" i="3"/>
  <c r="J114" i="3" s="1"/>
  <c r="E113" i="3"/>
  <c r="D113" i="3"/>
  <c r="J113" i="3" s="1"/>
  <c r="E112" i="3"/>
  <c r="D112" i="3"/>
  <c r="J112" i="3" s="1"/>
  <c r="E111" i="3"/>
  <c r="D111" i="3"/>
  <c r="E110" i="3"/>
  <c r="D110" i="3"/>
  <c r="J110" i="3" s="1"/>
  <c r="E109" i="3"/>
  <c r="D109" i="3"/>
  <c r="J109" i="3" s="1"/>
  <c r="E108" i="3"/>
  <c r="D108" i="3"/>
  <c r="J108" i="3" s="1"/>
  <c r="E107" i="3"/>
  <c r="D107" i="3"/>
  <c r="J107" i="3" s="1"/>
  <c r="E106" i="3"/>
  <c r="D106" i="3"/>
  <c r="J106" i="3" s="1"/>
  <c r="E105" i="3"/>
  <c r="D105" i="3"/>
  <c r="J105" i="3" s="1"/>
  <c r="E104" i="3"/>
  <c r="D104" i="3"/>
  <c r="J104" i="3" s="1"/>
  <c r="E103" i="3"/>
  <c r="D103" i="3"/>
  <c r="J103" i="3" s="1"/>
  <c r="E102" i="3"/>
  <c r="D102" i="3"/>
  <c r="J102" i="3" s="1"/>
  <c r="E101" i="3"/>
  <c r="D101" i="3"/>
  <c r="J101" i="3" s="1"/>
  <c r="E100" i="3"/>
  <c r="D100" i="3"/>
  <c r="J100" i="3" s="1"/>
  <c r="E99" i="3"/>
  <c r="D99" i="3"/>
  <c r="J99" i="3" s="1"/>
  <c r="J98" i="3"/>
  <c r="E98" i="3"/>
  <c r="D98" i="3"/>
  <c r="E97" i="3"/>
  <c r="D97" i="3"/>
  <c r="J97" i="3" s="1"/>
  <c r="E96" i="3"/>
  <c r="D96" i="3"/>
  <c r="J96" i="3" s="1"/>
  <c r="E95" i="3"/>
  <c r="D95" i="3"/>
  <c r="J95" i="3" s="1"/>
  <c r="E94" i="3"/>
  <c r="D94" i="3"/>
  <c r="J94" i="3" s="1"/>
  <c r="E93" i="3"/>
  <c r="D93" i="3"/>
  <c r="J93" i="3" s="1"/>
  <c r="E92" i="3"/>
  <c r="D92" i="3"/>
  <c r="J92" i="3" s="1"/>
  <c r="E91" i="3"/>
  <c r="D91" i="3"/>
  <c r="J91" i="3" s="1"/>
  <c r="J90" i="3"/>
  <c r="E90" i="3"/>
  <c r="D90" i="3"/>
  <c r="E89" i="3"/>
  <c r="D89" i="3"/>
  <c r="J89" i="3" s="1"/>
  <c r="E88" i="3"/>
  <c r="D88" i="3"/>
  <c r="J88" i="3" s="1"/>
  <c r="E87" i="3"/>
  <c r="D87" i="3"/>
  <c r="J87" i="3" s="1"/>
  <c r="E86" i="3"/>
  <c r="D86" i="3"/>
  <c r="J86" i="3" s="1"/>
  <c r="E85" i="3"/>
  <c r="D85" i="3"/>
  <c r="J85" i="3" s="1"/>
  <c r="E84" i="3"/>
  <c r="D84" i="3"/>
  <c r="J84" i="3" s="1"/>
  <c r="E83" i="3"/>
  <c r="D83" i="3"/>
  <c r="J83" i="3" s="1"/>
  <c r="E82" i="3"/>
  <c r="D82" i="3"/>
  <c r="J82" i="3" s="1"/>
  <c r="E81" i="3"/>
  <c r="D81" i="3"/>
  <c r="J81" i="3" s="1"/>
  <c r="E80" i="3"/>
  <c r="D80" i="3"/>
  <c r="J80" i="3" s="1"/>
  <c r="E79" i="3"/>
  <c r="D79" i="3"/>
  <c r="J79" i="3" s="1"/>
  <c r="E78" i="3"/>
  <c r="D78" i="3"/>
  <c r="J78" i="3" s="1"/>
  <c r="E77" i="3"/>
  <c r="D77" i="3"/>
  <c r="J77" i="3" s="1"/>
  <c r="J76" i="3"/>
  <c r="E76" i="3"/>
  <c r="D76" i="3"/>
  <c r="E75" i="3"/>
  <c r="D75" i="3"/>
  <c r="J75" i="3" s="1"/>
  <c r="E74" i="3"/>
  <c r="D74" i="3"/>
  <c r="J74" i="3" s="1"/>
  <c r="E73" i="3"/>
  <c r="D73" i="3"/>
  <c r="J73" i="3" s="1"/>
  <c r="E72" i="3"/>
  <c r="D72" i="3"/>
  <c r="J72" i="3" s="1"/>
  <c r="E71" i="3"/>
  <c r="D71" i="3"/>
  <c r="J71" i="3" s="1"/>
  <c r="E70" i="3"/>
  <c r="D70" i="3"/>
  <c r="J70" i="3" s="1"/>
  <c r="E69" i="3"/>
  <c r="D69" i="3"/>
  <c r="J69" i="3" s="1"/>
  <c r="J68" i="3"/>
  <c r="E68" i="3"/>
  <c r="D68" i="3"/>
  <c r="E67" i="3"/>
  <c r="D67" i="3"/>
  <c r="J67" i="3" s="1"/>
  <c r="E66" i="3"/>
  <c r="D66" i="3"/>
  <c r="J66" i="3" s="1"/>
  <c r="E65" i="3"/>
  <c r="D65" i="3"/>
  <c r="J65" i="3" s="1"/>
  <c r="E64" i="3"/>
  <c r="D64" i="3"/>
  <c r="J64" i="3" s="1"/>
  <c r="E63" i="3"/>
  <c r="D63" i="3"/>
  <c r="J63" i="3" s="1"/>
  <c r="E62" i="3"/>
  <c r="D62" i="3"/>
  <c r="J62" i="3" s="1"/>
  <c r="J61" i="3"/>
  <c r="E61" i="3"/>
  <c r="D61" i="3"/>
  <c r="E60" i="3"/>
  <c r="D60" i="3"/>
  <c r="J60" i="3" s="1"/>
  <c r="E59" i="3"/>
  <c r="D59" i="3"/>
  <c r="J59" i="3" s="1"/>
  <c r="E58" i="3"/>
  <c r="D58" i="3"/>
  <c r="J58" i="3" s="1"/>
  <c r="E57" i="3"/>
  <c r="D57" i="3"/>
  <c r="J57" i="3" s="1"/>
  <c r="E56" i="3"/>
  <c r="D56" i="3"/>
  <c r="J56" i="3" s="1"/>
  <c r="J55" i="3"/>
  <c r="E55" i="3"/>
  <c r="D55" i="3"/>
  <c r="E54" i="3"/>
  <c r="D54" i="3"/>
  <c r="J54" i="3" s="1"/>
  <c r="E53" i="3"/>
  <c r="D53" i="3"/>
  <c r="J53" i="3" s="1"/>
  <c r="E52" i="3"/>
  <c r="D52" i="3"/>
  <c r="E51" i="3"/>
  <c r="D51" i="3"/>
  <c r="J51" i="3" s="1"/>
  <c r="E50" i="3"/>
  <c r="D50" i="3"/>
  <c r="J50" i="3" s="1"/>
  <c r="E49" i="3"/>
  <c r="D49" i="3"/>
  <c r="J49" i="3" s="1"/>
  <c r="E48" i="3"/>
  <c r="D48" i="3"/>
  <c r="J48" i="3" s="1"/>
  <c r="E47" i="3"/>
  <c r="D47" i="3"/>
  <c r="J47" i="3" s="1"/>
  <c r="E46" i="3"/>
  <c r="D46" i="3"/>
  <c r="J46" i="3" s="1"/>
  <c r="E45" i="3"/>
  <c r="D45" i="3"/>
  <c r="J45" i="3" s="1"/>
  <c r="E44" i="3"/>
  <c r="D44" i="3"/>
  <c r="J44" i="3" s="1"/>
  <c r="E43" i="3"/>
  <c r="D43" i="3"/>
  <c r="J43" i="3" s="1"/>
  <c r="E42" i="3"/>
  <c r="D42" i="3"/>
  <c r="J42" i="3" s="1"/>
  <c r="E41" i="3"/>
  <c r="D41" i="3"/>
  <c r="J41" i="3" s="1"/>
  <c r="E40" i="3"/>
  <c r="D40" i="3"/>
  <c r="J40" i="3" s="1"/>
  <c r="E39" i="3"/>
  <c r="D39" i="3"/>
  <c r="J39" i="3" s="1"/>
  <c r="E38" i="3"/>
  <c r="D38" i="3"/>
  <c r="J38" i="3" s="1"/>
  <c r="E37" i="3"/>
  <c r="D37" i="3"/>
  <c r="J37" i="3" s="1"/>
  <c r="E36" i="3"/>
  <c r="D36" i="3"/>
  <c r="J36" i="3" s="1"/>
  <c r="E35" i="3"/>
  <c r="D35" i="3"/>
  <c r="J35" i="3" s="1"/>
  <c r="E34" i="3"/>
  <c r="D34" i="3"/>
  <c r="J34" i="3" s="1"/>
  <c r="E33" i="3"/>
  <c r="D33" i="3"/>
  <c r="J33" i="3" s="1"/>
  <c r="E32" i="3"/>
  <c r="D32" i="3"/>
  <c r="J32" i="3" s="1"/>
  <c r="E31" i="3"/>
  <c r="D31" i="3"/>
  <c r="J31" i="3" s="1"/>
  <c r="E30" i="3"/>
  <c r="D30" i="3"/>
  <c r="J30" i="3" s="1"/>
  <c r="E29" i="3"/>
  <c r="D29" i="3"/>
  <c r="J29" i="3" s="1"/>
  <c r="J28" i="3"/>
  <c r="E28" i="3"/>
  <c r="D28" i="3"/>
  <c r="J27" i="3"/>
  <c r="E27" i="3"/>
  <c r="D27" i="3"/>
  <c r="E26" i="3"/>
  <c r="D26" i="3"/>
  <c r="J26" i="3" s="1"/>
  <c r="E25" i="3"/>
  <c r="D25" i="3"/>
  <c r="J25" i="3" s="1"/>
  <c r="J24" i="3"/>
  <c r="E24" i="3"/>
  <c r="D24" i="3"/>
  <c r="E23" i="3"/>
  <c r="D23" i="3"/>
  <c r="J23" i="3" s="1"/>
  <c r="E22" i="3"/>
  <c r="D22" i="3"/>
  <c r="J22" i="3" s="1"/>
  <c r="E21" i="3"/>
  <c r="D21" i="3"/>
  <c r="J21" i="3" s="1"/>
  <c r="D20" i="3"/>
  <c r="J20" i="3" s="1"/>
  <c r="E19" i="3"/>
  <c r="D19" i="3"/>
  <c r="J19" i="3" s="1"/>
  <c r="E18" i="3"/>
  <c r="D18" i="3"/>
  <c r="J18" i="3" s="1"/>
  <c r="E17" i="3"/>
  <c r="D17" i="3"/>
  <c r="J17" i="3" s="1"/>
  <c r="E16" i="3"/>
  <c r="D16" i="3"/>
  <c r="J16" i="3" s="1"/>
  <c r="E15" i="3"/>
  <c r="D15" i="3"/>
  <c r="J15" i="3" s="1"/>
  <c r="E14" i="3"/>
  <c r="D14" i="3"/>
  <c r="J14" i="3" s="1"/>
  <c r="E13" i="3"/>
  <c r="D13" i="3"/>
  <c r="J13" i="3" s="1"/>
  <c r="E12" i="3"/>
  <c r="D12" i="3"/>
  <c r="J12" i="3" s="1"/>
  <c r="E11" i="3"/>
  <c r="D11" i="3"/>
  <c r="J11" i="3" s="1"/>
  <c r="E10" i="3"/>
  <c r="D10" i="3"/>
  <c r="J10" i="3" s="1"/>
  <c r="E9" i="3"/>
  <c r="D9" i="3"/>
  <c r="J9" i="3" s="1"/>
  <c r="D8" i="3"/>
  <c r="J8" i="3" s="1"/>
  <c r="E7" i="3"/>
  <c r="D7" i="3"/>
  <c r="E6" i="3"/>
  <c r="D6" i="3"/>
  <c r="J6" i="3" s="1"/>
  <c r="E5" i="3"/>
  <c r="D5" i="3"/>
  <c r="J5" i="3" s="1"/>
  <c r="E4" i="3"/>
  <c r="D4" i="3"/>
  <c r="J4" i="3" s="1"/>
  <c r="E3" i="3"/>
  <c r="D3" i="3"/>
  <c r="J3" i="3" s="1"/>
  <c r="E2" i="3"/>
  <c r="D2" i="3"/>
  <c r="J2" i="3" s="1"/>
  <c r="J111" i="3" l="1"/>
  <c r="J52" i="3"/>
</calcChain>
</file>

<file path=xl/sharedStrings.xml><?xml version="1.0" encoding="utf-8"?>
<sst xmlns="http://schemas.openxmlformats.org/spreadsheetml/2006/main" count="3183" uniqueCount="1941">
  <si>
    <t>Họ và tên</t>
  </si>
  <si>
    <t>Mã thẻ</t>
  </si>
  <si>
    <t>Phòng</t>
  </si>
  <si>
    <t>ID chỗ</t>
  </si>
  <si>
    <t>Phòng CTSV-CĐS</t>
  </si>
  <si>
    <t>A11</t>
  </si>
  <si>
    <t>A22</t>
  </si>
  <si>
    <t>Tăng Hữu Thủy</t>
  </si>
  <si>
    <t>Phùng Thị Hương Lan</t>
  </si>
  <si>
    <t>Ngô Văn Hải</t>
  </si>
  <si>
    <t>Dương Văn Tuấn</t>
  </si>
  <si>
    <t>Phùng Anh Kiệt</t>
  </si>
  <si>
    <t>Trần Việt Thắng</t>
  </si>
  <si>
    <t>Võ Thị Huyền</t>
  </si>
  <si>
    <t>Ngô Thị Mỹ Thạnh</t>
  </si>
  <si>
    <t>Trần Thị Ngọc Nhung</t>
  </si>
  <si>
    <t>Phan Thị Hồng Tươi</t>
  </si>
  <si>
    <t>Nguyễn Đức Chinh</t>
  </si>
  <si>
    <t>Lại Thế Tuân</t>
  </si>
  <si>
    <t>Nguyễn Việt Trung</t>
  </si>
  <si>
    <t>Trương Thị Lời</t>
  </si>
  <si>
    <t>Đặng Bá Bính</t>
  </si>
  <si>
    <t>Nguyễn Hoàng Bảo Trung</t>
  </si>
  <si>
    <t>Nguyễn Thị Xuân Loan</t>
  </si>
  <si>
    <t>Nguyễn Văn Lợi</t>
  </si>
  <si>
    <t>Đặng Minh Tuấn</t>
  </si>
  <si>
    <t>Lê Thị Thanh Thúy</t>
  </si>
  <si>
    <t>Đinh Công Minh</t>
  </si>
  <si>
    <t>Hỏa Văn Minh</t>
  </si>
  <si>
    <t>Phạm Thanh Tú</t>
  </si>
  <si>
    <t>Trần Đình Nam</t>
  </si>
  <si>
    <t>Nguyễn Công Tường</t>
  </si>
  <si>
    <t>Nguyễn Thị Trọng</t>
  </si>
  <si>
    <t>Trần Thị Xuân</t>
  </si>
  <si>
    <t>Đỗ Thị Huyền Thu</t>
  </si>
  <si>
    <t>Lê Thị Thanh An</t>
  </si>
  <si>
    <t>Nguyễn Quang Luật</t>
  </si>
  <si>
    <t>Hoàng Văn Cường</t>
  </si>
  <si>
    <t>Hoàng Thị Nguyệt</t>
  </si>
  <si>
    <t>Nguyễn Công Trinh</t>
  </si>
  <si>
    <t>Đinh Thị Lan Anh</t>
  </si>
  <si>
    <t>Lê Văn Phúc</t>
  </si>
  <si>
    <t>Trần Văn Nhực</t>
  </si>
  <si>
    <t>Nguyễn Thị Thu Trang</t>
  </si>
  <si>
    <t>Trần Văn Chuyền</t>
  </si>
  <si>
    <t>Nguyễn Văn Trung</t>
  </si>
  <si>
    <t>Nguyễn Văn Nam</t>
  </si>
  <si>
    <t>Lê Minh Thảo</t>
  </si>
  <si>
    <t>Trần Thị Yến</t>
  </si>
  <si>
    <t>Ban Giám đốc</t>
  </si>
  <si>
    <t>Phòng Tổng hợp</t>
  </si>
  <si>
    <t>Phòng Kế hoạch - Tài chính</t>
  </si>
  <si>
    <t>Phòng Dịch vụ - Dự án</t>
  </si>
  <si>
    <t>Phòng Quản trị - Thiết bị</t>
  </si>
  <si>
    <t>Phòng Hạ tầng</t>
  </si>
  <si>
    <t>Phòng An ninh trật tự</t>
  </si>
  <si>
    <t>Phòng Chăm sóc sức khỏe</t>
  </si>
  <si>
    <t>Ban Quản lý cụm nhà A.G</t>
  </si>
  <si>
    <t>Ban Quản lý cụm nhà A.H</t>
  </si>
  <si>
    <t>Ban Quản lý cụm nhà B.A</t>
  </si>
  <si>
    <t>Ban Quản lý cụm nhà B.B</t>
  </si>
  <si>
    <t>Ban Quản lý cụm nhà B.C</t>
  </si>
  <si>
    <t>Ban Quản lý cụm nhà B.D</t>
  </si>
  <si>
    <t>Ban Quản lý cụm nhà B.E</t>
  </si>
  <si>
    <t>BGD11</t>
  </si>
  <si>
    <t>BGD12</t>
  </si>
  <si>
    <t>BGD13</t>
  </si>
  <si>
    <t>BGD21</t>
  </si>
  <si>
    <t>BGD22</t>
  </si>
  <si>
    <t>BGD23</t>
  </si>
  <si>
    <t>TDV11</t>
  </si>
  <si>
    <t>TDV12</t>
  </si>
  <si>
    <t>TDV18</t>
  </si>
  <si>
    <t>TDV25</t>
  </si>
  <si>
    <t>TDV26</t>
  </si>
  <si>
    <t>TDV13</t>
  </si>
  <si>
    <t>TDV27</t>
  </si>
  <si>
    <t>TDV28</t>
  </si>
  <si>
    <t>TDV14</t>
  </si>
  <si>
    <t>TDV35</t>
  </si>
  <si>
    <t>TDV36</t>
  </si>
  <si>
    <t>TDV37</t>
  </si>
  <si>
    <t>TDV21</t>
  </si>
  <si>
    <t>TDV38</t>
  </si>
  <si>
    <t>TDV22</t>
  </si>
  <si>
    <t>A12</t>
  </si>
  <si>
    <t>TDV23</t>
  </si>
  <si>
    <t>A13</t>
  </si>
  <si>
    <t>TDV24</t>
  </si>
  <si>
    <t>A14</t>
  </si>
  <si>
    <t>A15</t>
  </si>
  <si>
    <t>TDV31</t>
  </si>
  <si>
    <t>A16</t>
  </si>
  <si>
    <t>TDV32</t>
  </si>
  <si>
    <t>A17</t>
  </si>
  <si>
    <t>TDV33</t>
  </si>
  <si>
    <t>A18</t>
  </si>
  <si>
    <t>TDV34</t>
  </si>
  <si>
    <t>A21</t>
  </si>
  <si>
    <t>TDV15</t>
  </si>
  <si>
    <t>TDV16</t>
  </si>
  <si>
    <t>A23</t>
  </si>
  <si>
    <t>TDV17</t>
  </si>
  <si>
    <t>A24</t>
  </si>
  <si>
    <t>image294.jpg</t>
  </si>
  <si>
    <t>image233.jpeg</t>
  </si>
  <si>
    <t>image231.jpeg</t>
  </si>
  <si>
    <t>image112.jpeg</t>
  </si>
  <si>
    <t>image44.jpeg</t>
  </si>
  <si>
    <t>image230.jpeg</t>
  </si>
  <si>
    <t>image288.jpeg</t>
  </si>
  <si>
    <t>image111.jpeg</t>
  </si>
  <si>
    <t>image257.jpeg</t>
  </si>
  <si>
    <t>image221.jpeg</t>
  </si>
  <si>
    <t>image122.jpeg</t>
  </si>
  <si>
    <t>image70.jpeg</t>
  </si>
  <si>
    <t>image200.jpeg</t>
  </si>
  <si>
    <t>image281.jpeg</t>
  </si>
  <si>
    <t>image14.jpeg</t>
  </si>
  <si>
    <t>image125.jpeg</t>
  </si>
  <si>
    <t>image176.jpeg</t>
  </si>
  <si>
    <t>image192.jpeg</t>
  </si>
  <si>
    <t>image16.jpeg</t>
  </si>
  <si>
    <t>image89.jpeg</t>
  </si>
  <si>
    <t>image24.jpeg</t>
  </si>
  <si>
    <t>image59.jpeg</t>
  </si>
  <si>
    <t>image211.jpeg</t>
  </si>
  <si>
    <t>image241.jpeg</t>
  </si>
  <si>
    <t>image117.jpeg</t>
  </si>
  <si>
    <t>image172.jpeg</t>
  </si>
  <si>
    <t>image262.jpeg</t>
  </si>
  <si>
    <t>image37.jpeg</t>
  </si>
  <si>
    <t>image88.jpeg</t>
  </si>
  <si>
    <t>image143.jpeg</t>
  </si>
  <si>
    <t>image53.jpeg</t>
  </si>
  <si>
    <t>image51.jpeg</t>
  </si>
  <si>
    <t>image116.jpeg</t>
  </si>
  <si>
    <t>image26.jpeg</t>
  </si>
  <si>
    <t>image99.jpeg</t>
  </si>
  <si>
    <t>image269.jpeg</t>
  </si>
  <si>
    <t>image171.jpeg</t>
  </si>
  <si>
    <t>image266.jpeg</t>
  </si>
  <si>
    <t>image197.jpeg</t>
  </si>
  <si>
    <t>image195.jpeg</t>
  </si>
  <si>
    <t>image77.jpeg</t>
  </si>
  <si>
    <t>image263.jpeg</t>
  </si>
  <si>
    <t>Phan Văn Thìn</t>
  </si>
  <si>
    <t>Mã trên máy</t>
  </si>
  <si>
    <t>Mã nhân sự</t>
  </si>
  <si>
    <t>Số CCCD</t>
  </si>
  <si>
    <t>Email</t>
  </si>
  <si>
    <t>Tên đơn vị</t>
  </si>
  <si>
    <t>Vị trí chỗ</t>
  </si>
  <si>
    <t>image</t>
  </si>
  <si>
    <t>00001</t>
  </si>
  <si>
    <t>00002</t>
  </si>
  <si>
    <t>00003</t>
  </si>
  <si>
    <t>00004</t>
  </si>
  <si>
    <t>00005</t>
  </si>
  <si>
    <t>00006</t>
  </si>
  <si>
    <t>00007</t>
  </si>
  <si>
    <t>vthuyen.ktx@vnuhcm.edu.vn</t>
  </si>
  <si>
    <t>X</t>
  </si>
  <si>
    <t>00008</t>
  </si>
  <si>
    <t>00009</t>
  </si>
  <si>
    <t>000010</t>
  </si>
  <si>
    <t>000011</t>
  </si>
  <si>
    <t>000012</t>
  </si>
  <si>
    <t>Bùi Phạm Ngọc Hà</t>
  </si>
  <si>
    <t>000013</t>
  </si>
  <si>
    <t>Hồ Thị Thu Hiền</t>
  </si>
  <si>
    <t>000014</t>
  </si>
  <si>
    <t>Lê Thị Thùy Trang</t>
  </si>
  <si>
    <t>000015</t>
  </si>
  <si>
    <t>Nguyễn Thanh Thảo</t>
  </si>
  <si>
    <t>000016</t>
  </si>
  <si>
    <t>Nguyễn Thị Ngọc Trâm</t>
  </si>
  <si>
    <t>000017</t>
  </si>
  <si>
    <t>000018</t>
  </si>
  <si>
    <t>000019</t>
  </si>
  <si>
    <t>ttloi@ktxhcm.edu.vn</t>
  </si>
  <si>
    <t>000020</t>
  </si>
  <si>
    <t>Trần Cao Cường</t>
  </si>
  <si>
    <t>000021</t>
  </si>
  <si>
    <t>Nguyễn Thị Thanh Tuyền</t>
  </si>
  <si>
    <t>000022</t>
  </si>
  <si>
    <t>Nguyễn Thị Hằng</t>
  </si>
  <si>
    <t>000023</t>
  </si>
  <si>
    <t>Đặng Thị Phương</t>
  </si>
  <si>
    <t>000024</t>
  </si>
  <si>
    <t>Trần Thị Kim Thi</t>
  </si>
  <si>
    <t>000025</t>
  </si>
  <si>
    <t>Dương Thị Diệu Mỹ</t>
  </si>
  <si>
    <t>000026</t>
  </si>
  <si>
    <t>000027</t>
  </si>
  <si>
    <t>000028</t>
  </si>
  <si>
    <t>000029</t>
  </si>
  <si>
    <t>Phùng Thị Kim Liên</t>
  </si>
  <si>
    <t>000030</t>
  </si>
  <si>
    <t>Phạm Nhất Phương</t>
  </si>
  <si>
    <t>000031</t>
  </si>
  <si>
    <t>Trần Minh Thành</t>
  </si>
  <si>
    <t>000032</t>
  </si>
  <si>
    <t>Đinh Thị Quyền</t>
  </si>
  <si>
    <t>000033</t>
  </si>
  <si>
    <t>Chề Long Bảo</t>
  </si>
  <si>
    <t>000034</t>
  </si>
  <si>
    <t>Nguyễn Thanh Tùy</t>
  </si>
  <si>
    <t>000035</t>
  </si>
  <si>
    <t>Phạm Thanh Tuấn</t>
  </si>
  <si>
    <t>000036</t>
  </si>
  <si>
    <t>000037</t>
  </si>
  <si>
    <t>Đặng Thị Trà My</t>
  </si>
  <si>
    <t>000038</t>
  </si>
  <si>
    <t>Nguyễn Nhật Tân</t>
  </si>
  <si>
    <t>000039</t>
  </si>
  <si>
    <t>Đặng Thị Nga</t>
  </si>
  <si>
    <t>000040</t>
  </si>
  <si>
    <t>000041</t>
  </si>
  <si>
    <t>000042</t>
  </si>
  <si>
    <t>000043</t>
  </si>
  <si>
    <t>Phan Quốc Huynh</t>
  </si>
  <si>
    <t>000044</t>
  </si>
  <si>
    <t>Trương Văn Sang</t>
  </si>
  <si>
    <t>000045</t>
  </si>
  <si>
    <t>Mạch Thị Oanh</t>
  </si>
  <si>
    <t>000046</t>
  </si>
  <si>
    <t>Ngô Hữu Nghị</t>
  </si>
  <si>
    <t>000047</t>
  </si>
  <si>
    <t>Nguyễn Quốc Hải</t>
  </si>
  <si>
    <t>000048</t>
  </si>
  <si>
    <t>Nguyễn Chí Hải</t>
  </si>
  <si>
    <t>000049</t>
  </si>
  <si>
    <t>Nguyễn Khánh Hiệp</t>
  </si>
  <si>
    <t>000050</t>
  </si>
  <si>
    <t>Nguyễn Thị Như Nữ</t>
  </si>
  <si>
    <t>000051</t>
  </si>
  <si>
    <t>000052</t>
  </si>
  <si>
    <t>000053</t>
  </si>
  <si>
    <t>Lương Đăng Hiếu</t>
  </si>
  <si>
    <t>000054</t>
  </si>
  <si>
    <t>Cao Thị Minh Nhật</t>
  </si>
  <si>
    <t>000055</t>
  </si>
  <si>
    <t>Dương Văn Binh</t>
  </si>
  <si>
    <t>000056</t>
  </si>
  <si>
    <t>Lê Phúc</t>
  </si>
  <si>
    <t>000057</t>
  </si>
  <si>
    <t>Nguyễn Thanh Thạch</t>
  </si>
  <si>
    <t>000058</t>
  </si>
  <si>
    <t>Mai Trúc Đào</t>
  </si>
  <si>
    <t>000059</t>
  </si>
  <si>
    <t>Nguyễn Thanh Ngọc</t>
  </si>
  <si>
    <t>000060</t>
  </si>
  <si>
    <t>Võ Thị Hiền</t>
  </si>
  <si>
    <t>000061</t>
  </si>
  <si>
    <t>Dương Xuân Thành</t>
  </si>
  <si>
    <t>000062</t>
  </si>
  <si>
    <t>Hoàng Mạnh Tài</t>
  </si>
  <si>
    <t>000063</t>
  </si>
  <si>
    <t>Huỳnh Phan Nhật Thùy</t>
  </si>
  <si>
    <t>000064</t>
  </si>
  <si>
    <t>Trần Bá Bẩy</t>
  </si>
  <si>
    <t>000065</t>
  </si>
  <si>
    <t>Lê Ngọc Phương</t>
  </si>
  <si>
    <t>000066</t>
  </si>
  <si>
    <t>000067</t>
  </si>
  <si>
    <t>000068</t>
  </si>
  <si>
    <t>Nguyễn Viết Đồng</t>
  </si>
  <si>
    <t>000069</t>
  </si>
  <si>
    <t>Nguyễn Trọng Thiện</t>
  </si>
  <si>
    <t>000070</t>
  </si>
  <si>
    <t>Đoàn Tiến Dũng</t>
  </si>
  <si>
    <t>000071</t>
  </si>
  <si>
    <t>Nguyễn Thị Hạnh</t>
  </si>
  <si>
    <t>000072</t>
  </si>
  <si>
    <t>Nguyễn Văn Lương</t>
  </si>
  <si>
    <t>000073</t>
  </si>
  <si>
    <t>Trịnh Văn Chung</t>
  </si>
  <si>
    <t>000074</t>
  </si>
  <si>
    <t>Nguyễn Bằng Hướng</t>
  </si>
  <si>
    <t>000075</t>
  </si>
  <si>
    <t>Nguyễn Thị Phòng</t>
  </si>
  <si>
    <t>000076</t>
  </si>
  <si>
    <t>Nguyễn Tiến Bản</t>
  </si>
  <si>
    <t>000077</t>
  </si>
  <si>
    <t>Trần Kim Hoàng</t>
  </si>
  <si>
    <t>000078</t>
  </si>
  <si>
    <t>Lê Hồng Vũ</t>
  </si>
  <si>
    <t>000079</t>
  </si>
  <si>
    <t>000080</t>
  </si>
  <si>
    <t>000081</t>
  </si>
  <si>
    <t>Nguyễn Văn An</t>
  </si>
  <si>
    <t>000082</t>
  </si>
  <si>
    <t>Đinh Huỳnh Đức</t>
  </si>
  <si>
    <t>000083</t>
  </si>
  <si>
    <t>Nguyễn Văn Khá</t>
  </si>
  <si>
    <t>000084</t>
  </si>
  <si>
    <t>Tăng Thị Xuyến</t>
  </si>
  <si>
    <t>000085</t>
  </si>
  <si>
    <t>Hoàng Thị Sang</t>
  </si>
  <si>
    <t>000086</t>
  </si>
  <si>
    <t>000087</t>
  </si>
  <si>
    <t>000088</t>
  </si>
  <si>
    <t>000089</t>
  </si>
  <si>
    <t>Trương Thị Hoài</t>
  </si>
  <si>
    <t>000090</t>
  </si>
  <si>
    <t>Hoàng Văn Tình</t>
  </si>
  <si>
    <t>000091</t>
  </si>
  <si>
    <t>Nguyễn Thị Tho</t>
  </si>
  <si>
    <t>000092</t>
  </si>
  <si>
    <t>Đỗ Văn Hăng</t>
  </si>
  <si>
    <t>000093</t>
  </si>
  <si>
    <t>Trần Thị Thanh Xuân</t>
  </si>
  <si>
    <t>000094</t>
  </si>
  <si>
    <t>000095</t>
  </si>
  <si>
    <t>000096</t>
  </si>
  <si>
    <t>Nguyễn Phú Vinh</t>
  </si>
  <si>
    <t>000097</t>
  </si>
  <si>
    <t>Nguyễn Chí Nhân</t>
  </si>
  <si>
    <t>000098</t>
  </si>
  <si>
    <t>Trịnh Quốc Bộ</t>
  </si>
  <si>
    <t>000099</t>
  </si>
  <si>
    <t>0000100</t>
  </si>
  <si>
    <t>0000101</t>
  </si>
  <si>
    <t>Nguyễn Thị Huyền</t>
  </si>
  <si>
    <t>0000102</t>
  </si>
  <si>
    <t>Nguyễn Thị Hương</t>
  </si>
  <si>
    <t>0000103</t>
  </si>
  <si>
    <t>Lê Thị Thủy</t>
  </si>
  <si>
    <t>0000104</t>
  </si>
  <si>
    <t>0000105</t>
  </si>
  <si>
    <t>0000106</t>
  </si>
  <si>
    <t>Nguyễn Thị Vân</t>
  </si>
  <si>
    <t>0000107</t>
  </si>
  <si>
    <t>Trần Phạm Kim Dung</t>
  </si>
  <si>
    <t>0000108</t>
  </si>
  <si>
    <t>Nguyễn Văn Minh</t>
  </si>
  <si>
    <t>0000109</t>
  </si>
  <si>
    <t>0000110</t>
  </si>
  <si>
    <t>0000111</t>
  </si>
  <si>
    <t>Lê Thị Ngọc Dung</t>
  </si>
  <si>
    <t>0000112</t>
  </si>
  <si>
    <t>Lê Văn Nam</t>
  </si>
  <si>
    <t>0000113</t>
  </si>
  <si>
    <t>Trần Thị Thơ Thơ</t>
  </si>
  <si>
    <t>0000114</t>
  </si>
  <si>
    <t>0000115</t>
  </si>
  <si>
    <t>0000116</t>
  </si>
  <si>
    <t>Phạm Văn Phong</t>
  </si>
  <si>
    <t>0000117</t>
  </si>
  <si>
    <t>Hồ Xuân Kỷ</t>
  </si>
  <si>
    <t>0000118</t>
  </si>
  <si>
    <t>Nguyễn Đình Đức</t>
  </si>
  <si>
    <t>0000119</t>
  </si>
  <si>
    <t>0000120</t>
  </si>
  <si>
    <t>0000121</t>
  </si>
  <si>
    <t>Nguyễn Tấn Điệp</t>
  </si>
  <si>
    <t>0000122</t>
  </si>
  <si>
    <t>Cao Thị Hoa</t>
  </si>
  <si>
    <t>0000123</t>
  </si>
  <si>
    <t>0000124</t>
  </si>
  <si>
    <t>Võ Thị Như Muội</t>
  </si>
  <si>
    <t>vtnmuoi@ktxhcm.edu.vn</t>
  </si>
  <si>
    <t>0000125</t>
  </si>
  <si>
    <t>Trần Thị Tuyết</t>
  </si>
  <si>
    <t>0000126</t>
  </si>
  <si>
    <t>Nguyễn Thùy Dung</t>
  </si>
  <si>
    <t>0000127</t>
  </si>
  <si>
    <t>Đinh Thị Thủy</t>
  </si>
  <si>
    <t>dtthuy@ktxhcm.edu.vn</t>
  </si>
  <si>
    <t>0000128</t>
  </si>
  <si>
    <t>Phạm Ngọc Vỹ</t>
  </si>
  <si>
    <t>0000129</t>
  </si>
  <si>
    <t>Nguyễn Hữu Lân</t>
  </si>
  <si>
    <t>nhlan@ktxhcm.edu.vn</t>
  </si>
  <si>
    <t>0000130</t>
  </si>
  <si>
    <t>Trương Hoàng Ngân</t>
  </si>
  <si>
    <t>0000131</t>
  </si>
  <si>
    <t>Lê Nhật Vũ</t>
  </si>
  <si>
    <t>0000132</t>
  </si>
  <si>
    <t>Vũ Thị Chinh</t>
  </si>
  <si>
    <t>0000133</t>
  </si>
  <si>
    <t>Nguyễn Huy Hải</t>
  </si>
  <si>
    <t>0000134</t>
  </si>
  <si>
    <t>Nguyễn Minh Nhật</t>
  </si>
  <si>
    <t>0000135</t>
  </si>
  <si>
    <t>Nguyễn Trần Công Danh</t>
  </si>
  <si>
    <t>0000136</t>
  </si>
  <si>
    <t>046197007730</t>
  </si>
  <si>
    <t>ltthuytrang@ktxhcm.edu.vn</t>
  </si>
  <si>
    <t>0000137</t>
  </si>
  <si>
    <t>Nguyễn Thị Kiều My</t>
  </si>
  <si>
    <t>0000138</t>
  </si>
  <si>
    <t>Thái Dương</t>
  </si>
  <si>
    <t>0000139</t>
  </si>
  <si>
    <t>Phan Xuân Truyện</t>
  </si>
  <si>
    <t>0000140</t>
  </si>
  <si>
    <t>Hứa Tấn Liệt</t>
  </si>
  <si>
    <t>0000141</t>
  </si>
  <si>
    <t>Hoàng Liên Sơn</t>
  </si>
  <si>
    <t>0000142</t>
  </si>
  <si>
    <t>Đỗ Thị Trang</t>
  </si>
  <si>
    <t>0000143</t>
  </si>
  <si>
    <t>Đặng Duy Thiện</t>
  </si>
  <si>
    <t>STT</t>
  </si>
  <si>
    <t>BGD14</t>
  </si>
  <si>
    <t>x</t>
  </si>
  <si>
    <t>Trưởng đơn vị</t>
  </si>
  <si>
    <t>LDDV23</t>
  </si>
  <si>
    <t>LDDV24</t>
  </si>
  <si>
    <t>LDDV31</t>
  </si>
  <si>
    <t>LDDV32</t>
  </si>
  <si>
    <t>LDDV33</t>
  </si>
  <si>
    <t>LDDV34</t>
  </si>
  <si>
    <t>LDDV41</t>
  </si>
  <si>
    <t>LDDV42</t>
  </si>
  <si>
    <t>LDDV43</t>
  </si>
  <si>
    <t>LDDV44</t>
  </si>
  <si>
    <t>LDDV51</t>
  </si>
  <si>
    <t>LDDV52</t>
  </si>
  <si>
    <t>LDDV53</t>
  </si>
  <si>
    <t>LDDV54</t>
  </si>
  <si>
    <t>A1.1</t>
  </si>
  <si>
    <t>A1.2</t>
  </si>
  <si>
    <t>A1.4</t>
  </si>
  <si>
    <t>A1.3</t>
  </si>
  <si>
    <t>A1.5</t>
  </si>
  <si>
    <t>A2.1</t>
  </si>
  <si>
    <t>A2.2</t>
  </si>
  <si>
    <t>A2.7</t>
  </si>
  <si>
    <t>A2.8</t>
  </si>
  <si>
    <t>A2.3</t>
  </si>
  <si>
    <t>A2.4</t>
  </si>
  <si>
    <t>A2.6</t>
  </si>
  <si>
    <t>A3.1</t>
  </si>
  <si>
    <t>A1.6</t>
  </si>
  <si>
    <t>A1.7</t>
  </si>
  <si>
    <t>A1.8</t>
  </si>
  <si>
    <t>A2.5</t>
  </si>
  <si>
    <t>A3.5</t>
  </si>
  <si>
    <t>A3.6</t>
  </si>
  <si>
    <t>A3.7</t>
  </si>
  <si>
    <t>A3.8</t>
  </si>
  <si>
    <t>A3.2</t>
  </si>
  <si>
    <t>A4.5</t>
  </si>
  <si>
    <t>A4.6</t>
  </si>
  <si>
    <t>A4.7</t>
  </si>
  <si>
    <t>A4.8</t>
  </si>
  <si>
    <t>A5.5</t>
  </si>
  <si>
    <t>A5.6</t>
  </si>
  <si>
    <t>A5.4</t>
  </si>
  <si>
    <t>A5.2</t>
  </si>
  <si>
    <t>A5.3</t>
  </si>
  <si>
    <t>A5.7</t>
  </si>
  <si>
    <t>A5.8</t>
  </si>
  <si>
    <t>A6.1</t>
  </si>
  <si>
    <t>A6.5</t>
  </si>
  <si>
    <t>A6.6</t>
  </si>
  <si>
    <t>A6.7</t>
  </si>
  <si>
    <t>A6.8</t>
  </si>
  <si>
    <t>A3.3</t>
  </si>
  <si>
    <t>A3.4</t>
  </si>
  <si>
    <t>A4.1</t>
  </si>
  <si>
    <t>A4.2</t>
  </si>
  <si>
    <t>A4.3</t>
  </si>
  <si>
    <t>A4.4</t>
  </si>
  <si>
    <t>A5.1</t>
  </si>
  <si>
    <t>A6.2</t>
  </si>
  <si>
    <t>A6.3</t>
  </si>
  <si>
    <t>A6.4</t>
  </si>
  <si>
    <t>B1.1</t>
  </si>
  <si>
    <t>B1.2</t>
  </si>
  <si>
    <t>B1.3</t>
  </si>
  <si>
    <t>B1.4</t>
  </si>
  <si>
    <t>B1.5</t>
  </si>
  <si>
    <t>B1.6</t>
  </si>
  <si>
    <t>B2.1</t>
  </si>
  <si>
    <t>B2.2</t>
  </si>
  <si>
    <t>B2.3</t>
  </si>
  <si>
    <t>B2.4</t>
  </si>
  <si>
    <t>B2.5</t>
  </si>
  <si>
    <t>B2.6</t>
  </si>
  <si>
    <t>B3.1</t>
  </si>
  <si>
    <t>B3.2</t>
  </si>
  <si>
    <t>B3.3</t>
  </si>
  <si>
    <t>B3.4</t>
  </si>
  <si>
    <t>B3.5</t>
  </si>
  <si>
    <t>B3.6</t>
  </si>
  <si>
    <t>B4.1</t>
  </si>
  <si>
    <t>B4.2</t>
  </si>
  <si>
    <t>B4.3</t>
  </si>
  <si>
    <t>B4.4</t>
  </si>
  <si>
    <t>B4.5</t>
  </si>
  <si>
    <t>B4.6</t>
  </si>
  <si>
    <t>B5.1</t>
  </si>
  <si>
    <t>B5.2</t>
  </si>
  <si>
    <t>B5.3</t>
  </si>
  <si>
    <t>B5.4</t>
  </si>
  <si>
    <t>B5.5</t>
  </si>
  <si>
    <t>B5.6</t>
  </si>
  <si>
    <t>B6.1</t>
  </si>
  <si>
    <t>B6.2</t>
  </si>
  <si>
    <t>B6.3</t>
  </si>
  <si>
    <t>B6.4</t>
  </si>
  <si>
    <t>B6.5</t>
  </si>
  <si>
    <t>B6.6</t>
  </si>
  <si>
    <t>B7.1</t>
  </si>
  <si>
    <t>B7.2</t>
  </si>
  <si>
    <t>B7.3</t>
  </si>
  <si>
    <t>B7.4</t>
  </si>
  <si>
    <t>B7.5</t>
  </si>
  <si>
    <t>B7.6</t>
  </si>
  <si>
    <t>B8.1</t>
  </si>
  <si>
    <t>B8.3</t>
  </si>
  <si>
    <t>B8.2</t>
  </si>
  <si>
    <t>B8.4</t>
  </si>
  <si>
    <t>B8.5</t>
  </si>
  <si>
    <t>B8.6</t>
  </si>
  <si>
    <t>A7.5</t>
  </si>
  <si>
    <t>A7.6</t>
  </si>
  <si>
    <t>A7.7</t>
  </si>
  <si>
    <t>A7.8</t>
  </si>
  <si>
    <t>A7.4</t>
  </si>
  <si>
    <t>A7.1</t>
  </si>
  <si>
    <t>A7.2</t>
  </si>
  <si>
    <t>A7.3</t>
  </si>
  <si>
    <t>00317828184198</t>
  </si>
  <si>
    <t>Nhân viên</t>
  </si>
  <si>
    <t>nkquyen@ktxhcm.edu.vn</t>
  </si>
  <si>
    <t>0964723626</t>
  </si>
  <si>
    <t>Ban quản lý cụm nhà B.E</t>
  </si>
  <si>
    <t>0000604294</t>
  </si>
  <si>
    <t>Nguyễn Khắc Quyền</t>
  </si>
  <si>
    <t>00317828180245</t>
  </si>
  <si>
    <t>bvdung@ktxhcm.edu.vn</t>
  </si>
  <si>
    <t>0971595067</t>
  </si>
  <si>
    <t>0000600341</t>
  </si>
  <si>
    <t>Bùi Văn Dũng</t>
  </si>
  <si>
    <t>00317827714629</t>
  </si>
  <si>
    <t>dvhoan@ktxhcm.edu.vn</t>
  </si>
  <si>
    <t>0936304839</t>
  </si>
  <si>
    <t>0000134725</t>
  </si>
  <si>
    <t>Đoàn Văn Hoan</t>
  </si>
  <si>
    <t>00317828215264</t>
  </si>
  <si>
    <t>ddthien@ktxhcm.edu.vn</t>
  </si>
  <si>
    <t>0903379440</t>
  </si>
  <si>
    <t>0000635360</t>
  </si>
  <si>
    <t>00317828181566</t>
  </si>
  <si>
    <t>0395871978</t>
  </si>
  <si>
    <t>0000601662</t>
  </si>
  <si>
    <t>00317828210684</t>
  </si>
  <si>
    <t>Chuyên viên</t>
  </si>
  <si>
    <t>ntlinh@ktxhcm.edu.vn</t>
  </si>
  <si>
    <t>0339538833</t>
  </si>
  <si>
    <t>0000630780</t>
  </si>
  <si>
    <t>Nông Thị Linh</t>
  </si>
  <si>
    <t>00317828206164</t>
  </si>
  <si>
    <t>tvgiang@ktxhcm.edu.vn</t>
  </si>
  <si>
    <t>0866674799</t>
  </si>
  <si>
    <t>0000626260</t>
  </si>
  <si>
    <t>Trịnh Văn Giang</t>
  </si>
  <si>
    <t>00317827839158</t>
  </si>
  <si>
    <t>ltttrang@ktxhcm.edu.vn</t>
  </si>
  <si>
    <t>0934990818</t>
  </si>
  <si>
    <t>0000259254</t>
  </si>
  <si>
    <t>00300654951710</t>
  </si>
  <si>
    <t>ttqnga@ktxhcm.edu.vn</t>
  </si>
  <si>
    <t>0858407735</t>
  </si>
  <si>
    <t>0007240990</t>
  </si>
  <si>
    <t>Trần Thị Quỳnh Nga</t>
  </si>
  <si>
    <t>00317828159153</t>
  </si>
  <si>
    <t>cthoa@ktxhcm.edu.vn</t>
  </si>
  <si>
    <t>0963729869</t>
  </si>
  <si>
    <t>0000579249</t>
  </si>
  <si>
    <t>00317827748961</t>
  </si>
  <si>
    <t>ttien@ktxhcm.edu.vn</t>
  </si>
  <si>
    <t>0916567258</t>
  </si>
  <si>
    <t>0000169057</t>
  </si>
  <si>
    <t>Trần Tiến</t>
  </si>
  <si>
    <t>00317828203917</t>
  </si>
  <si>
    <t>ntdiep@ktxhcm.edu.vn</t>
  </si>
  <si>
    <t>0973333657</t>
  </si>
  <si>
    <t>0000624013</t>
  </si>
  <si>
    <t>00317828210452</t>
  </si>
  <si>
    <t>Phó Trưởng Ban</t>
  </si>
  <si>
    <t>ttyen@ktxhcm.edu.vn</t>
  </si>
  <si>
    <t>0908381866</t>
  </si>
  <si>
    <t>0000630548</t>
  </si>
  <si>
    <t>00317827715288</t>
  </si>
  <si>
    <t>Phó phụ trách Ban</t>
  </si>
  <si>
    <t>lmthao@ktxhcm.edu.vn</t>
  </si>
  <si>
    <t>0902560577</t>
  </si>
  <si>
    <t>0000135384</t>
  </si>
  <si>
    <t>00317828190316</t>
  </si>
  <si>
    <t>vvvinh@ktxhcm.edu.vn</t>
  </si>
  <si>
    <t>0938343941</t>
  </si>
  <si>
    <t>Ban quản lý cụm nhà B.D</t>
  </si>
  <si>
    <t>0000610412</t>
  </si>
  <si>
    <t>Vũ Văn Vĩnh</t>
  </si>
  <si>
    <t>00317828225833</t>
  </si>
  <si>
    <t>dqtuyen@ktxhcm.edu.vn</t>
  </si>
  <si>
    <t>0792441555</t>
  </si>
  <si>
    <t>0000645929</t>
  </si>
  <si>
    <t>Đào Quốc Tuyến</t>
  </si>
  <si>
    <t>00317828162314</t>
  </si>
  <si>
    <t>hcthong@ktxhcm.edu.vn</t>
  </si>
  <si>
    <t>0933671617</t>
  </si>
  <si>
    <t>0000582410</t>
  </si>
  <si>
    <t>Hồ Cao Thông</t>
  </si>
  <si>
    <t>00317828221919</t>
  </si>
  <si>
    <t>ndduc@ktxhcm.edu.vn</t>
  </si>
  <si>
    <t>0937985559</t>
  </si>
  <si>
    <t>0000642015</t>
  </si>
  <si>
    <t>00309249008067</t>
  </si>
  <si>
    <t>pvphong@ktxhcm.edu.vn</t>
  </si>
  <si>
    <t>0383552987</t>
  </si>
  <si>
    <t>0011362755</t>
  </si>
  <si>
    <t>00317827918411</t>
  </si>
  <si>
    <t>hxky@ktxhcm.edu.vn</t>
  </si>
  <si>
    <t>0937605389</t>
  </si>
  <si>
    <t>0000338507</t>
  </si>
  <si>
    <t>00317828217787</t>
  </si>
  <si>
    <t>ltmhanh@ktxhcm.edu.vn</t>
  </si>
  <si>
    <t>0973486155</t>
  </si>
  <si>
    <t>0000637883</t>
  </si>
  <si>
    <t>Lê Thị Mỹ Hạnh</t>
  </si>
  <si>
    <t>00317828185198</t>
  </si>
  <si>
    <t>dttrang@ktxhcm.edu.vn</t>
  </si>
  <si>
    <t>0907756998</t>
  </si>
  <si>
    <t>0000605294</t>
  </si>
  <si>
    <t>00300654915280</t>
  </si>
  <si>
    <t>Phó Trưởng ban</t>
  </si>
  <si>
    <t>nvnam@ktxhcm.edu.vn</t>
  </si>
  <si>
    <t>0347381111</t>
  </si>
  <si>
    <t>0007204560</t>
  </si>
  <si>
    <t>00317828153729</t>
  </si>
  <si>
    <t>Trưởng ban</t>
  </si>
  <si>
    <t>nvtrung@ktxhcm.edu.vn</t>
  </si>
  <si>
    <t>0903104373</t>
  </si>
  <si>
    <t>0000573825</t>
  </si>
  <si>
    <t>00317828203921</t>
  </si>
  <si>
    <t>nchung@ktxhcm.edu.vn</t>
  </si>
  <si>
    <t>0962244300</t>
  </si>
  <si>
    <t>Ban quản lý cụm nhà B.C</t>
  </si>
  <si>
    <t>0000624017</t>
  </si>
  <si>
    <t>Nguyễn Chí Hưng</t>
  </si>
  <si>
    <t>00317827685777</t>
  </si>
  <si>
    <t>nvgiao@ktxhcm.edu.vn</t>
  </si>
  <si>
    <t>0325981044</t>
  </si>
  <si>
    <t>0000105873</t>
  </si>
  <si>
    <t>Nguyễn Văn Giào</t>
  </si>
  <si>
    <t>00300654921560</t>
  </si>
  <si>
    <t>ndchuyen@ktxhcm.edu.vn</t>
  </si>
  <si>
    <t>0373136354</t>
  </si>
  <si>
    <t>0007210840</t>
  </si>
  <si>
    <t>Nguyễn Đức Chuyên</t>
  </si>
  <si>
    <t>00317828165962</t>
  </si>
  <si>
    <t>hlson@ktxhcm.edu.vn</t>
  </si>
  <si>
    <t>0937648366</t>
  </si>
  <si>
    <t>0000586058</t>
  </si>
  <si>
    <t>00317828162059</t>
  </si>
  <si>
    <t>nvsang@ktxhcm.edu.vn</t>
  </si>
  <si>
    <t>0783883422</t>
  </si>
  <si>
    <t>0000582155</t>
  </si>
  <si>
    <t>Nguyễn Văn Sang</t>
  </si>
  <si>
    <t>00317828144744</t>
  </si>
  <si>
    <t>tqthanh@ktxhcm.edu.vn</t>
  </si>
  <si>
    <t>0919433787</t>
  </si>
  <si>
    <t>0000564840</t>
  </si>
  <si>
    <t>Trương Quang Thanh</t>
  </si>
  <si>
    <t>00317828214183</t>
  </si>
  <si>
    <t>ltndung@ktxhcm.edu.vn</t>
  </si>
  <si>
    <t>0866055774</t>
  </si>
  <si>
    <t>0000634279</t>
  </si>
  <si>
    <t>00317828206156</t>
  </si>
  <si>
    <t>lvnam@ktxhcm.edu.vn</t>
  </si>
  <si>
    <t>0379133719</t>
  </si>
  <si>
    <t>0000626252</t>
  </si>
  <si>
    <t>00317828179101</t>
  </si>
  <si>
    <t>than@ktxhcm.edu.vn</t>
  </si>
  <si>
    <t>0908669386</t>
  </si>
  <si>
    <t>0000599197</t>
  </si>
  <si>
    <t>Trần Hà Ân</t>
  </si>
  <si>
    <t>00317828229614</t>
  </si>
  <si>
    <t>ttttho@ktxhcm.edu.vn</t>
  </si>
  <si>
    <t>0985230517</t>
  </si>
  <si>
    <t>0000649710</t>
  </si>
  <si>
    <t>00317828158820</t>
  </si>
  <si>
    <t>Phó trưởng ban</t>
  </si>
  <si>
    <t>tvchuyen@ktxhcm.edu.vn</t>
  </si>
  <si>
    <t>0942499879</t>
  </si>
  <si>
    <t>0000578916</t>
  </si>
  <si>
    <t>00317828158425</t>
  </si>
  <si>
    <t>ntttrang@ktxhcm.edu.vn</t>
  </si>
  <si>
    <t>0905577949</t>
  </si>
  <si>
    <t>0000578521</t>
  </si>
  <si>
    <t>00317828198651</t>
  </si>
  <si>
    <t>Nhân viên </t>
  </si>
  <si>
    <t>htliet@ktxhcm.edu.vn</t>
  </si>
  <si>
    <t>0989417011</t>
  </si>
  <si>
    <t>Ban quản lý cụm nhà B.B</t>
  </si>
  <si>
    <t>0000618747</t>
  </si>
  <si>
    <t>00317828227100</t>
  </si>
  <si>
    <t>pnnam@ktxhcm.edu.vn</t>
  </si>
  <si>
    <t>0933963859</t>
  </si>
  <si>
    <t>0000647196</t>
  </si>
  <si>
    <t>Phạm Ngọc Nam</t>
  </si>
  <si>
    <t>00317828139740</t>
  </si>
  <si>
    <t>pxtruong@ktxhcm.edu.vn</t>
  </si>
  <si>
    <t>0966775677</t>
  </si>
  <si>
    <t>0000559836</t>
  </si>
  <si>
    <t>Phạm Xuân Trường</t>
  </si>
  <si>
    <t>00317827812214</t>
  </si>
  <si>
    <t>lvtuyen@ktxhcm.edu.vn</t>
  </si>
  <si>
    <t>0387002102</t>
  </si>
  <si>
    <t>0000232310</t>
  </si>
  <si>
    <t>Lê Văn Tuyến</t>
  </si>
  <si>
    <t>00300654928875</t>
  </si>
  <si>
    <t>nvminh@ktxhcm.edu.vn</t>
  </si>
  <si>
    <t>0908881104</t>
  </si>
  <si>
    <t>0007218155</t>
  </si>
  <si>
    <t>00317828157053</t>
  </si>
  <si>
    <t>tpkdung@ktxhcm.edu.vn</t>
  </si>
  <si>
    <t>0382577629</t>
  </si>
  <si>
    <t>0000577149</t>
  </si>
  <si>
    <t>00317827712300</t>
  </si>
  <si>
    <t>ntvan@ktxhcm.edu.vn</t>
  </si>
  <si>
    <t>0974229191</t>
  </si>
  <si>
    <t>0000132396</t>
  </si>
  <si>
    <t>00317828195341</t>
  </si>
  <si>
    <t>ntchau@ktxhcm.edu.vn</t>
  </si>
  <si>
    <t>0356225875</t>
  </si>
  <si>
    <t>0000615437</t>
  </si>
  <si>
    <t>Nguyễn Thị Châu</t>
  </si>
  <si>
    <t>00317828216675</t>
  </si>
  <si>
    <t>bpnam@ktxhcm.edu.vn</t>
  </si>
  <si>
    <t>0981867415</t>
  </si>
  <si>
    <t>0000636771</t>
  </si>
  <si>
    <t>Bùi Phương Nam</t>
  </si>
  <si>
    <t>00317827837276</t>
  </si>
  <si>
    <t>tvnhuc@ktxhcm.edu.vn</t>
  </si>
  <si>
    <t>0839758787</t>
  </si>
  <si>
    <t>0000257372</t>
  </si>
  <si>
    <t>00317828138830</t>
  </si>
  <si>
    <t>lvphuc@ktxhcm.edu.vn</t>
  </si>
  <si>
    <t>0909951103</t>
  </si>
  <si>
    <t>0000558926</t>
  </si>
  <si>
    <t>00317828195310</t>
  </si>
  <si>
    <t>tvdao@ktxhcm.edu.vn</t>
  </si>
  <si>
    <t>0337453698</t>
  </si>
  <si>
    <t>Ban quản lý cụm nhà B.A</t>
  </si>
  <si>
    <t>0000615406</t>
  </si>
  <si>
    <t>Trần Văn Đạo</t>
  </si>
  <si>
    <t>00317828210316</t>
  </si>
  <si>
    <t>pxtruyen@ktxhcm.edu.vn</t>
  </si>
  <si>
    <t>0937383915</t>
  </si>
  <si>
    <t>0000630412</t>
  </si>
  <si>
    <t>00309249025452</t>
  </si>
  <si>
    <t>tdtien@ktxhcm.edu.vn</t>
  </si>
  <si>
    <t>0987641047</t>
  </si>
  <si>
    <t>0011380140</t>
  </si>
  <si>
    <t>Trần Đình Tiến</t>
  </si>
  <si>
    <t>00317828216022</t>
  </si>
  <si>
    <t>Chuyên viên </t>
  </si>
  <si>
    <t>ltthuy@ktxhcm.edu.vn</t>
  </si>
  <si>
    <t>0963429867</t>
  </si>
  <si>
    <t>0000636118</t>
  </si>
  <si>
    <t>00317828221496</t>
  </si>
  <si>
    <t>nthuong@ktxhcm.edu.vn</t>
  </si>
  <si>
    <t>0981463809</t>
  </si>
  <si>
    <t>0000641592</t>
  </si>
  <si>
    <t>00300654895181</t>
  </si>
  <si>
    <t>paduy@ktxhcm.edu.vn</t>
  </si>
  <si>
    <t>0904664015</t>
  </si>
  <si>
    <t>0007184461</t>
  </si>
  <si>
    <t>Phạm Anh Duy</t>
  </si>
  <si>
    <t>00317827909260</t>
  </si>
  <si>
    <t>ntphuoc@ktxhcm.edu.vn</t>
  </si>
  <si>
    <t>0903034939</t>
  </si>
  <si>
    <t>0000329356</t>
  </si>
  <si>
    <t>Nguyễn Tấn Phước</t>
  </si>
  <si>
    <t>00317828143814</t>
  </si>
  <si>
    <t>nvdung@ktxhcm.edu.vn</t>
  </si>
  <si>
    <t>0937888205</t>
  </si>
  <si>
    <t>0000563910</t>
  </si>
  <si>
    <t>Nguyễn Văn Dũng</t>
  </si>
  <si>
    <t>00317828178767</t>
  </si>
  <si>
    <t>nthuyen@ktxhcm.edu.vn</t>
  </si>
  <si>
    <t>0931523445</t>
  </si>
  <si>
    <t>0000598863</t>
  </si>
  <si>
    <t>00317828163702</t>
  </si>
  <si>
    <t>dtlanh@ktxhcm.edu.vn</t>
  </si>
  <si>
    <t>0934143979</t>
  </si>
  <si>
    <t>0000583798</t>
  </si>
  <si>
    <t>00317828159136</t>
  </si>
  <si>
    <t>nctrinh@ktxhcm.edu.vn</t>
  </si>
  <si>
    <t>0976250218</t>
  </si>
  <si>
    <t>0000579232</t>
  </si>
  <si>
    <t>00317828193410</t>
  </si>
  <si>
    <t>bctiep@ktxhcm.edu.vn</t>
  </si>
  <si>
    <t>0332539798</t>
  </si>
  <si>
    <t>Ban quản lý cụm nhà A.H</t>
  </si>
  <si>
    <t>0000613506</t>
  </si>
  <si>
    <t>Bùi Công Tiếp</t>
  </si>
  <si>
    <t>00317828227318</t>
  </si>
  <si>
    <t>nhbinh@ktxhcm.edu.vn</t>
  </si>
  <si>
    <t>0000647414</t>
  </si>
  <si>
    <t>Ngô Hòa Bình</t>
  </si>
  <si>
    <t>00317827818899</t>
  </si>
  <si>
    <t>tvquy@ktxhcm.edu.vn</t>
  </si>
  <si>
    <t>1900055559</t>
  </si>
  <si>
    <t>0000238995</t>
  </si>
  <si>
    <t>Trần Văn Quỳ</t>
  </si>
  <si>
    <t>00317827828207</t>
  </si>
  <si>
    <t>ncnhan@ktxhcm.edu.vn</t>
  </si>
  <si>
    <t>0903623417</t>
  </si>
  <si>
    <t>0000248303</t>
  </si>
  <si>
    <t>00309249025145</t>
  </si>
  <si>
    <t>dttvan@ktxhcm.edu.vn</t>
  </si>
  <si>
    <t>0965829268</t>
  </si>
  <si>
    <t>0011379833</t>
  </si>
  <si>
    <t>Đinh Thị Thúy Vân</t>
  </si>
  <si>
    <t>00317828182524</t>
  </si>
  <si>
    <t>tqbo@ktxhcm.edu.vn</t>
  </si>
  <si>
    <t>0971397669</t>
  </si>
  <si>
    <t>0000602620</t>
  </si>
  <si>
    <t>00317828221971</t>
  </si>
  <si>
    <t>lvson@ktxhcm.edu.vn</t>
  </si>
  <si>
    <t>0347910386</t>
  </si>
  <si>
    <t>0000642067</t>
  </si>
  <si>
    <t>Lâm Văn Sơn</t>
  </si>
  <si>
    <t>00317828148708</t>
  </si>
  <si>
    <t>hvluan@ktxhcm.edu.vn</t>
  </si>
  <si>
    <t>0908317220</t>
  </si>
  <si>
    <t>0000568804</t>
  </si>
  <si>
    <t>Hoàng Văn Luận</t>
  </si>
  <si>
    <t>00317828210160</t>
  </si>
  <si>
    <t>nhson@ktxhcm.edu.vn</t>
  </si>
  <si>
    <t>0979627076</t>
  </si>
  <si>
    <t>0000630256</t>
  </si>
  <si>
    <t>Nguyễn Hồng Sơn</t>
  </si>
  <si>
    <t>00317828151508</t>
  </si>
  <si>
    <t>ltmtien@ktxhcm.edu.vn</t>
  </si>
  <si>
    <t>0328038679</t>
  </si>
  <si>
    <t>0000571604</t>
  </si>
  <si>
    <t>Lê Trần Minh Tiến</t>
  </si>
  <si>
    <t>00309249025787</t>
  </si>
  <si>
    <t>ltcuong@ktxhcm.edu.vn</t>
  </si>
  <si>
    <t>0388663182</t>
  </si>
  <si>
    <t>0011380475</t>
  </si>
  <si>
    <t>Lê Tấn Cường</t>
  </si>
  <si>
    <t>00313542885194</t>
  </si>
  <si>
    <t>npvinh@ktxhcm.edu.vn</t>
  </si>
  <si>
    <t>0904452421</t>
  </si>
  <si>
    <t>0010272586</t>
  </si>
  <si>
    <t>00313542885195</t>
  </si>
  <si>
    <t>cttuoi@ktxhcm.edu.vn</t>
  </si>
  <si>
    <t>0974761585</t>
  </si>
  <si>
    <t>0010272587</t>
  </si>
  <si>
    <t>Cao Thị Tươi</t>
  </si>
  <si>
    <t>00313542885196</t>
  </si>
  <si>
    <t>tduong@ktxhcm.edu.vn</t>
  </si>
  <si>
    <t>0396875913</t>
  </si>
  <si>
    <t>0010272588</t>
  </si>
  <si>
    <t>00313542885197</t>
  </si>
  <si>
    <t>tmhan@ktxhcm.edu.vn</t>
  </si>
  <si>
    <t>0333967967</t>
  </si>
  <si>
    <t>0010272589</t>
  </si>
  <si>
    <t>Thân Minh Hoàng Ân</t>
  </si>
  <si>
    <t>00313542885198</t>
  </si>
  <si>
    <t>hvtuan@ktxhcm.edu.vn</t>
  </si>
  <si>
    <t>0374502693</t>
  </si>
  <si>
    <t>0010272590</t>
  </si>
  <si>
    <t>Hoàng Văn Tuấn</t>
  </si>
  <si>
    <t>00313542885189</t>
  </si>
  <si>
    <t>lnanh@ktxhcm.edu.vn</t>
  </si>
  <si>
    <t>0968068028</t>
  </si>
  <si>
    <t>0010272581</t>
  </si>
  <si>
    <t>Lê Nho Anh</t>
  </si>
  <si>
    <t>00313542885190</t>
  </si>
  <si>
    <t>Phó ban</t>
  </si>
  <si>
    <t>htnguyet@ktxhcm.edu.vn</t>
  </si>
  <si>
    <t>0937569886</t>
  </si>
  <si>
    <t>0010272582</t>
  </si>
  <si>
    <t>00313542885191</t>
  </si>
  <si>
    <t>hvcuong@ktxhcm.edu.vn</t>
  </si>
  <si>
    <t>0973818345</t>
  </si>
  <si>
    <t>0010272583</t>
  </si>
  <si>
    <t>00313542885192</t>
  </si>
  <si>
    <t>nhthuy@ktxhcm.edu.vn</t>
  </si>
  <si>
    <t>0908321999</t>
  </si>
  <si>
    <t>Ban quản lý cụm nhà A.G</t>
  </si>
  <si>
    <t>0010272584</t>
  </si>
  <si>
    <t>Nguyễn Hữu Thủy</t>
  </si>
  <si>
    <t>00313542885193</t>
  </si>
  <si>
    <t>ltthan@ktxhcm.edu.vn</t>
  </si>
  <si>
    <t>0010272585</t>
  </si>
  <si>
    <t>Lã Thị Thân</t>
  </si>
  <si>
    <t>00313542845380</t>
  </si>
  <si>
    <t>nhhung@ktxhcm.edu.vn</t>
  </si>
  <si>
    <t>0938286086</t>
  </si>
  <si>
    <t>0010232772</t>
  </si>
  <si>
    <t>Nguyễn Hữu Hưng</t>
  </si>
  <si>
    <t>00313542845381</t>
  </si>
  <si>
    <t>chuyentv@ktxhcm.edu.vn</t>
  </si>
  <si>
    <t>0374733687</t>
  </si>
  <si>
    <t>0010232773</t>
  </si>
  <si>
    <t>Trịnh Viết Chuyển</t>
  </si>
  <si>
    <t>00313542845382</t>
  </si>
  <si>
    <t>bvphuc@ktxhcm.edu.vn</t>
  </si>
  <si>
    <t>0966675319</t>
  </si>
  <si>
    <t>0010232774</t>
  </si>
  <si>
    <t>Bùi Văn Phúc</t>
  </si>
  <si>
    <t>00313542845383</t>
  </si>
  <si>
    <t>lvdong@ktxhcm.edu.vn</t>
  </si>
  <si>
    <t>0785656778</t>
  </si>
  <si>
    <t>0010232775</t>
  </si>
  <si>
    <t>Lưu Văn Đồng</t>
  </si>
  <si>
    <t>00313542845384</t>
  </si>
  <si>
    <t>tttxuan@ktxhcm.edu.vn</t>
  </si>
  <si>
    <t>0384288548</t>
  </si>
  <si>
    <t>0010232776</t>
  </si>
  <si>
    <t>00313542867247</t>
  </si>
  <si>
    <t>ntkmy@ktxhcm.edu.vn</t>
  </si>
  <si>
    <t>0899993048</t>
  </si>
  <si>
    <t>0010254639</t>
  </si>
  <si>
    <t>00313542845376</t>
  </si>
  <si>
    <t>dxson@ktxhcm.edu.vn</t>
  </si>
  <si>
    <t>0926392750</t>
  </si>
  <si>
    <t>0010232768</t>
  </si>
  <si>
    <t>Đinh Xuân Sơn</t>
  </si>
  <si>
    <t>00313542845377</t>
  </si>
  <si>
    <t>datai@ktxhcm.edu.vn</t>
  </si>
  <si>
    <t>0348278786</t>
  </si>
  <si>
    <t>0010232769</t>
  </si>
  <si>
    <t>Đỗ Anh Tài</t>
  </si>
  <si>
    <t>00313542845378</t>
  </si>
  <si>
    <t>Nhân viên  </t>
  </si>
  <si>
    <t>nnhao@ktxhcm.edu.vn</t>
  </si>
  <si>
    <t>0365668940</t>
  </si>
  <si>
    <t>0010232770</t>
  </si>
  <si>
    <t>Nguyễn Nhật Hào</t>
  </si>
  <si>
    <t>00313542845379</t>
  </si>
  <si>
    <t>ntphong@ktxhcm.edu.vn</t>
  </si>
  <si>
    <t>0985664853</t>
  </si>
  <si>
    <t>0010232771</t>
  </si>
  <si>
    <t>00313542851777</t>
  </si>
  <si>
    <t>ltthang@ktxhcm.edu.vn</t>
  </si>
  <si>
    <t>0902402489</t>
  </si>
  <si>
    <t>0010239169</t>
  </si>
  <si>
    <t>Lê Thị Thúy Hằng</t>
  </si>
  <si>
    <t>00313542851778</t>
  </si>
  <si>
    <t>hvtinh@ktxhcm.edu.vn</t>
  </si>
  <si>
    <t>0984592234</t>
  </si>
  <si>
    <t>0010239170</t>
  </si>
  <si>
    <t>00313542851779</t>
  </si>
  <si>
    <t>nhthuc@ktxhcm.edu.vn</t>
  </si>
  <si>
    <t>0909022679</t>
  </si>
  <si>
    <t>0010239171</t>
  </si>
  <si>
    <t>Nguyễn Hữu Thức</t>
  </si>
  <si>
    <t>00313542851780</t>
  </si>
  <si>
    <t>nvkhanh@ktxhcm.edu.vn</t>
  </si>
  <si>
    <t>0393828402</t>
  </si>
  <si>
    <t>0010239172</t>
  </si>
  <si>
    <t>Nguyễn Văn Khanh</t>
  </si>
  <si>
    <t>00313542851781</t>
  </si>
  <si>
    <t>cthieu@ktxhcm.edu.vn</t>
  </si>
  <si>
    <t>0966701349</t>
  </si>
  <si>
    <t>0010239173</t>
  </si>
  <si>
    <t>Châu Thanh Hiếu</t>
  </si>
  <si>
    <t>00313542851772</t>
  </si>
  <si>
    <t>ntban@ktxhcm.edu.vn</t>
  </si>
  <si>
    <t>0906000669</t>
  </si>
  <si>
    <t>0010239164</t>
  </si>
  <si>
    <t>00313542851773</t>
  </si>
  <si>
    <t>vvtai@ktxhcm.edu.vn</t>
  </si>
  <si>
    <t>0943549377</t>
  </si>
  <si>
    <t>0010239165</t>
  </si>
  <si>
    <t>Vũ Văn Tài</t>
  </si>
  <si>
    <t>00313542851774</t>
  </si>
  <si>
    <t>nvchien@ktxhcm.edu.vn</t>
  </si>
  <si>
    <t>0362241497</t>
  </si>
  <si>
    <t>0010239166</t>
  </si>
  <si>
    <t>Nghiêm Văn Chiến</t>
  </si>
  <si>
    <t>00313542851775</t>
  </si>
  <si>
    <t>dvhang@ktxhcm.edu.vn</t>
  </si>
  <si>
    <t>0904120480</t>
  </si>
  <si>
    <t>0010239167</t>
  </si>
  <si>
    <t>00313542851776</t>
  </si>
  <si>
    <t>nthhoa@ktxhcm.edu.vn</t>
  </si>
  <si>
    <t>0903309837</t>
  </si>
  <si>
    <t>0010239168</t>
  </si>
  <si>
    <t>Nguyễn Trần Hồng Hoa</t>
  </si>
  <si>
    <t>00313542863009</t>
  </si>
  <si>
    <t>nttho@ktxhcm.edu.vn</t>
  </si>
  <si>
    <t>0386383161</t>
  </si>
  <si>
    <t>0010250401</t>
  </si>
  <si>
    <t>00313542863320</t>
  </si>
  <si>
    <t>thlam@ktxhcm.edu.vn</t>
  </si>
  <si>
    <t>0919023010</t>
  </si>
  <si>
    <t>0010250712</t>
  </si>
  <si>
    <t>Trần Hữu Lâm</t>
  </si>
  <si>
    <t>00313542863321</t>
  </si>
  <si>
    <t>tthoai@ktxhcm.edu.vn</t>
  </si>
  <si>
    <t>0989576609</t>
  </si>
  <si>
    <t>0010250713</t>
  </si>
  <si>
    <t>00313542863322</t>
  </si>
  <si>
    <t>dskhanh@ktxhcm.edu.vn</t>
  </si>
  <si>
    <t>0907231114</t>
  </si>
  <si>
    <t>0010250714</t>
  </si>
  <si>
    <t>Đỗ Sơn Khánh</t>
  </si>
  <si>
    <t>00313542863323</t>
  </si>
  <si>
    <t> Phó Trưởng ban</t>
  </si>
  <si>
    <t>nqluat@ktxhcm.edu.vn</t>
  </si>
  <si>
    <t>0945339420</t>
  </si>
  <si>
    <t>0010250715</t>
  </si>
  <si>
    <t>00313542863315</t>
  </si>
  <si>
    <t>dththu@ktxhcm.edu.vn</t>
  </si>
  <si>
    <t>0915021349</t>
  </si>
  <si>
    <t>0010250707</t>
  </si>
  <si>
    <t>00313542863316</t>
  </si>
  <si>
    <t>lttan@ktxhcm.edu.vn</t>
  </si>
  <si>
    <t>0979239159</t>
  </si>
  <si>
    <t>0010250708</t>
  </si>
  <si>
    <t>00313542863317</t>
  </si>
  <si>
    <t>lvtan@ktxhcm.edu.vn</t>
  </si>
  <si>
    <t>0937934967</t>
  </si>
  <si>
    <t>Phòng Quản trị thiết bị</t>
  </si>
  <si>
    <t>0010250709</t>
  </si>
  <si>
    <t>Lưu Viết Tấn</t>
  </si>
  <si>
    <t>00313542863318</t>
  </si>
  <si>
    <t>vdtrong@ktxhcm.edu.vn</t>
  </si>
  <si>
    <t>0983921268</t>
  </si>
  <si>
    <t>0010250710</t>
  </si>
  <si>
    <t>Vũ Đức Trọng</t>
  </si>
  <si>
    <t>00313542863319</t>
  </si>
  <si>
    <t>plkhai@ktxhcm.edu.vn</t>
  </si>
  <si>
    <t>0908035838</t>
  </si>
  <si>
    <t>0010250711</t>
  </si>
  <si>
    <t>Phạm Long Khải</t>
  </si>
  <si>
    <t>00313542882810</t>
  </si>
  <si>
    <t>vnhai@ktxhcm.edu.vn</t>
  </si>
  <si>
    <t>0932486899</t>
  </si>
  <si>
    <t>0010270202</t>
  </si>
  <si>
    <t>Võ Ngọc Hải</t>
  </si>
  <si>
    <t>00313542882809</t>
  </si>
  <si>
    <t>vlduc@ktxhcm.edu.vn</t>
  </si>
  <si>
    <t>0961144398</t>
  </si>
  <si>
    <t>0010270201</t>
  </si>
  <si>
    <t>Vũ Lâm Đức</t>
  </si>
  <si>
    <t>00313542882808</t>
  </si>
  <si>
    <t>ndtoan@ktxhcm.edu.vn</t>
  </si>
  <si>
    <t>0919991528</t>
  </si>
  <si>
    <t>0010270200</t>
  </si>
  <si>
    <t>Nguyễn Đắc Toản</t>
  </si>
  <si>
    <t>00313542882807</t>
  </si>
  <si>
    <t>mchoang@ktxhcm.edu.vn</t>
  </si>
  <si>
    <t>0036916201</t>
  </si>
  <si>
    <t>0010270199</t>
  </si>
  <si>
    <t>Mai Chấn Hoàng</t>
  </si>
  <si>
    <t>00313542882806</t>
  </si>
  <si>
    <t>hthien@ktxhcm.edu.vn</t>
  </si>
  <si>
    <t>0396792530</t>
  </si>
  <si>
    <t>0010270198</t>
  </si>
  <si>
    <t>Hỏa Tuấn Hiền</t>
  </si>
  <si>
    <t>00313542882815</t>
  </si>
  <si>
    <t>htquoc@ktxhcm.edu.vn</t>
  </si>
  <si>
    <t>0977090224</t>
  </si>
  <si>
    <t>0010270207</t>
  </si>
  <si>
    <t>Hứa Trung Quốc</t>
  </si>
  <si>
    <t>00313542882814</t>
  </si>
  <si>
    <t>nnthanh@ktxhcm.edu.vn</t>
  </si>
  <si>
    <t>0986440877</t>
  </si>
  <si>
    <t>0010270206</t>
  </si>
  <si>
    <t>Nguyễn Ngọc Thành</t>
  </si>
  <si>
    <t>00313542882813</t>
  </si>
  <si>
    <t>hvthi@ktxhcm.edu.vn</t>
  </si>
  <si>
    <t>0974815023</t>
  </si>
  <si>
    <t>0010270205</t>
  </si>
  <si>
    <t>Hàn Văn Thi</t>
  </si>
  <si>
    <t>00313542882812</t>
  </si>
  <si>
    <t>ncbinh@ktxhcm.edu.vn</t>
  </si>
  <si>
    <t>0867422179</t>
  </si>
  <si>
    <t>0010270204</t>
  </si>
  <si>
    <t>Nguyễn Công Bình</t>
  </si>
  <si>
    <t>00313542882811</t>
  </si>
  <si>
    <t>pqhuynh@ktxhcm.edu.vn</t>
  </si>
  <si>
    <t>0989697699</t>
  </si>
  <si>
    <t>0010270203</t>
  </si>
  <si>
    <t>00313542886786</t>
  </si>
  <si>
    <t>ntnnu@ktxhcm.edu.vn</t>
  </si>
  <si>
    <t>0010274178</t>
  </si>
  <si>
    <t>00313542886787</t>
  </si>
  <si>
    <t>nkhiep@ktxhcm.edu.vn</t>
  </si>
  <si>
    <t>0909123546</t>
  </si>
  <si>
    <t>0010274179</t>
  </si>
  <si>
    <t>00313542886788</t>
  </si>
  <si>
    <t>nmphuong@ktxhcm.edu.vn</t>
  </si>
  <si>
    <t>0332353484</t>
  </si>
  <si>
    <t>0010274180</t>
  </si>
  <si>
    <t>Nguyễn Minh Phương</t>
  </si>
  <si>
    <t>00313542886789</t>
  </si>
  <si>
    <t>nhanlm@ktxhcm.edu.vn</t>
  </si>
  <si>
    <t>0373011122</t>
  </si>
  <si>
    <t xml:space="preserve">Phòng Quản trị thiết bị </t>
  </si>
  <si>
    <t>0010274181</t>
  </si>
  <si>
    <t>Lê Minh Nhân</t>
  </si>
  <si>
    <t>00313542886790</t>
  </si>
  <si>
    <t>nlhoang@ktxhcm.edu.vn</t>
  </si>
  <si>
    <t>0903341105</t>
  </si>
  <si>
    <t>0010274182</t>
  </si>
  <si>
    <t>Nguyễn Long Hoàng</t>
  </si>
  <si>
    <t>00313542886781</t>
  </si>
  <si>
    <t>lnvu@ktxhcm.edu.vn</t>
  </si>
  <si>
    <t>0976792996</t>
  </si>
  <si>
    <t>0010274173</t>
  </si>
  <si>
    <t>00313542886782</t>
  </si>
  <si>
    <t>nhnghi@ktxhcm.edu.vn</t>
  </si>
  <si>
    <t>0384329632</t>
  </si>
  <si>
    <t>0010274174</t>
  </si>
  <si>
    <t>00313542886783</t>
  </si>
  <si>
    <t>dqminh@ktxhcm.edu.vn</t>
  </si>
  <si>
    <t>0902664901</t>
  </si>
  <si>
    <t>0010274175</t>
  </si>
  <si>
    <t>Đoàn Quang Minh</t>
  </si>
  <si>
    <t>00313542886784</t>
  </si>
  <si>
    <t>thngan@ktxhcm.edu.vn</t>
  </si>
  <si>
    <t>0389319205</t>
  </si>
  <si>
    <t>0010274176</t>
  </si>
  <si>
    <t>00313542886785</t>
  </si>
  <si>
    <t>tvsang@ktxhcm.edu.vn</t>
  </si>
  <si>
    <t>0979255737</t>
  </si>
  <si>
    <t>0010274177</t>
  </si>
  <si>
    <t>00313542886770</t>
  </si>
  <si>
    <t>tqtri@ktxhcm.edu.vn</t>
  </si>
  <si>
    <t>0907854458</t>
  </si>
  <si>
    <t>0010274162</t>
  </si>
  <si>
    <t>Trịnh Quang Tri</t>
  </si>
  <si>
    <t>00313542886769</t>
  </si>
  <si>
    <t>nqhai@ktxhcm.edu.vn</t>
  </si>
  <si>
    <t>0934570892</t>
  </si>
  <si>
    <t>0010274161</t>
  </si>
  <si>
    <t>00313542886768</t>
  </si>
  <si>
    <t>nchai@ktxhcm.edu.vn</t>
  </si>
  <si>
    <t>0335905261</t>
  </si>
  <si>
    <t>0010274160</t>
  </si>
  <si>
    <t>00313542886767</t>
  </si>
  <si>
    <t>mtoanh@ktxhcm.edu.vn</t>
  </si>
  <si>
    <t>0962173404</t>
  </si>
  <si>
    <t>0010274159</t>
  </si>
  <si>
    <t>00313542886766</t>
  </si>
  <si>
    <t>Phó Trưởng Phòng</t>
  </si>
  <si>
    <t>dcminh@ktxhcm.edu.vn</t>
  </si>
  <si>
    <t>0912755771</t>
  </si>
  <si>
    <t>0010274158</t>
  </si>
  <si>
    <t>00313542886775</t>
  </si>
  <si>
    <t>lttthuy@ktxhcm.edu.vn</t>
  </si>
  <si>
    <t>0963051014</t>
  </si>
  <si>
    <t>0010274167</t>
  </si>
  <si>
    <t>00313542886774</t>
  </si>
  <si>
    <t>Trưởng phòng</t>
  </si>
  <si>
    <t>dmtuan@ktxhcm.edu.vn</t>
  </si>
  <si>
    <t>0913773633</t>
  </si>
  <si>
    <t>0010274166</t>
  </si>
  <si>
    <t>00313542886773</t>
  </si>
  <si>
    <t>nttien@ktxhcm.edu.vn</t>
  </si>
  <si>
    <t>0906400371</t>
  </si>
  <si>
    <t>0010274165</t>
  </si>
  <si>
    <t>Nguyễn Thành Tiền</t>
  </si>
  <si>
    <t>00313542886772</t>
  </si>
  <si>
    <t>vtchinh@ktxhcm.edu.vn</t>
  </si>
  <si>
    <t>0969671499</t>
  </si>
  <si>
    <t>0010274164</t>
  </si>
  <si>
    <t>00313542886771</t>
  </si>
  <si>
    <t>ntthang@ktxhcm.edu.vn</t>
  </si>
  <si>
    <t>0775825937</t>
  </si>
  <si>
    <t>0010274163</t>
  </si>
  <si>
    <t>Nguyễn Thị Tuyết Hằng</t>
  </si>
  <si>
    <t>00313542879121</t>
  </si>
  <si>
    <t>ttgiang@ktxhcm.edu.vn</t>
  </si>
  <si>
    <t>0334014434</t>
  </si>
  <si>
    <t>0010266513</t>
  </si>
  <si>
    <t>Trần Thị Giàng</t>
  </si>
  <si>
    <t>00313542879122</t>
  </si>
  <si>
    <t>tron@ktxhcm.edu.vn</t>
  </si>
  <si>
    <t>0010266514</t>
  </si>
  <si>
    <t>Thạch Rợn</t>
  </si>
  <si>
    <t>00313542879123</t>
  </si>
  <si>
    <t>htla@ktxhcm.edu.vn</t>
  </si>
  <si>
    <t>0972328120</t>
  </si>
  <si>
    <t>0010266515</t>
  </si>
  <si>
    <t>Hoàng Thị Là</t>
  </si>
  <si>
    <t>00313542879124</t>
  </si>
  <si>
    <t>dtttrinh@ktxhcm.edu.vn</t>
  </si>
  <si>
    <t>0392419535</t>
  </si>
  <si>
    <t>0010266516</t>
  </si>
  <si>
    <t>Đặng Thị Tuyết Trinh</t>
  </si>
  <si>
    <t>00313542879125</t>
  </si>
  <si>
    <t>bthat@ktxhcm.edu.vn</t>
  </si>
  <si>
    <t>0388857792</t>
  </si>
  <si>
    <t>0010266517</t>
  </si>
  <si>
    <t>Bùi Thị Hạt</t>
  </si>
  <si>
    <t>00313542879431</t>
  </si>
  <si>
    <t>vthien@ktxhcm.edu.vn</t>
  </si>
  <si>
    <t>0337329178</t>
  </si>
  <si>
    <t>0010266823</t>
  </si>
  <si>
    <t>00313542879430</t>
  </si>
  <si>
    <t>nhhai@ktxhcm.edu.vn</t>
  </si>
  <si>
    <t>0964443646</t>
  </si>
  <si>
    <t>0010266822</t>
  </si>
  <si>
    <t>00313542879429</t>
  </si>
  <si>
    <t>dddung@ktxhcm.edu.vn</t>
  </si>
  <si>
    <t>0373798240</t>
  </si>
  <si>
    <t>0010266821</t>
  </si>
  <si>
    <t>Dư Đình Dũng</t>
  </si>
  <si>
    <t>00313542879428</t>
  </si>
  <si>
    <t>nvlam@ktxhcm.edu.vn</t>
  </si>
  <si>
    <t>0987062145</t>
  </si>
  <si>
    <t>0010266820</t>
  </si>
  <si>
    <t>Nguyễn Văn Lâm</t>
  </si>
  <si>
    <t>00313542879427</t>
  </si>
  <si>
    <t>ntsil@ktxhcm.edu.vn</t>
  </si>
  <si>
    <t>0358834672</t>
  </si>
  <si>
    <t>0010266819</t>
  </si>
  <si>
    <t>Nguyễn Thị Sil</t>
  </si>
  <si>
    <t>00313542879075</t>
  </si>
  <si>
    <t>tbbay@ktxhcm.edu.vn</t>
  </si>
  <si>
    <t>0973563478</t>
  </si>
  <si>
    <t>0010266467</t>
  </si>
  <si>
    <t>00313542879074</t>
  </si>
  <si>
    <t>pvnhat@ktxhcm.edu.vn</t>
  </si>
  <si>
    <t>0397086900</t>
  </si>
  <si>
    <t>0010266466</t>
  </si>
  <si>
    <t>Phan Văn Nhất</t>
  </si>
  <si>
    <t>00313542879073</t>
  </si>
  <si>
    <t>ltphan@ktxhcm.edu.vn</t>
  </si>
  <si>
    <t>0985697026</t>
  </si>
  <si>
    <t>0010266465</t>
  </si>
  <si>
    <t>Lê Thị Phan</t>
  </si>
  <si>
    <t>00313542879072</t>
  </si>
  <si>
    <t>ldnghia@ktxhcm.edu.vn</t>
  </si>
  <si>
    <t>0766880249</t>
  </si>
  <si>
    <t>0010266464</t>
  </si>
  <si>
    <t>Lê Đình Nghĩa</t>
  </si>
  <si>
    <t>00313542879071</t>
  </si>
  <si>
    <t>hmtai@ktxhcm.edu.vn</t>
  </si>
  <si>
    <t>0965733296</t>
  </si>
  <si>
    <t>0010266463</t>
  </si>
  <si>
    <t>00313542879086</t>
  </si>
  <si>
    <t>lnphuong@ktxhcm.edu.vn</t>
  </si>
  <si>
    <t>0939175188</t>
  </si>
  <si>
    <t>0010266478</t>
  </si>
  <si>
    <t>00313542879087</t>
  </si>
  <si>
    <t>lcchinh@ktxhcm.edu.vn</t>
  </si>
  <si>
    <t>0931148168</t>
  </si>
  <si>
    <t>0010266479</t>
  </si>
  <si>
    <t>Lê Chí Chinh</t>
  </si>
  <si>
    <t>00313542879088</t>
  </si>
  <si>
    <t>ntthach@ktxhcm.edu.vn</t>
  </si>
  <si>
    <t>0345950038</t>
  </si>
  <si>
    <t>0010266480</t>
  </si>
  <si>
    <t>00313542879089</t>
  </si>
  <si>
    <t>ptmhuong@ktxhcm.edu.vn</t>
  </si>
  <si>
    <t>0328929732</t>
  </si>
  <si>
    <t>0010266481</t>
  </si>
  <si>
    <t>Phan Thị Mỹ Hương</t>
  </si>
  <si>
    <t>00313542879090</t>
  </si>
  <si>
    <t>tvdinh@ktxhcm.edu.vn</t>
  </si>
  <si>
    <t>0907603836</t>
  </si>
  <si>
    <t>0010266482</t>
  </si>
  <si>
    <t>Trịnh Văn Định</t>
  </si>
  <si>
    <t>00313542867688</t>
  </si>
  <si>
    <t>ntatuyet@ktxhcm.edu.vn</t>
  </si>
  <si>
    <t>0348870405</t>
  </si>
  <si>
    <t>0010255080</t>
  </si>
  <si>
    <t>Nguyễn Thị Ánh Tuyết</t>
  </si>
  <si>
    <t>00313542867687</t>
  </si>
  <si>
    <t>dxthanh@ktxhcm.edu.vn</t>
  </si>
  <si>
    <t>0948777444</t>
  </si>
  <si>
    <t>0010255079</t>
  </si>
  <si>
    <t>00313542867686</t>
  </si>
  <si>
    <t>vthang@ktxhcm.edu.vn</t>
  </si>
  <si>
    <t>0939698902</t>
  </si>
  <si>
    <t>0010255078</t>
  </si>
  <si>
    <t>Võ Thị Hằng</t>
  </si>
  <si>
    <t>00313542867685</t>
  </si>
  <si>
    <t>dvbinh@ktxhcm.edu.vn</t>
  </si>
  <si>
    <t>0906112637</t>
  </si>
  <si>
    <t>0010255077</t>
  </si>
  <si>
    <t>00313542867684</t>
  </si>
  <si>
    <t>lphuc@ktxhcm.edu.vn</t>
  </si>
  <si>
    <t>0979679859</t>
  </si>
  <si>
    <t>0010255076</t>
  </si>
  <si>
    <t>00313542867693</t>
  </si>
  <si>
    <t>ldhieu@ktxhcm.edu.vn</t>
  </si>
  <si>
    <t>0327986462</t>
  </si>
  <si>
    <t>0010255085</t>
  </si>
  <si>
    <t>00313542867692</t>
  </si>
  <si>
    <t>nmthang@ktxhcm.edu.vn</t>
  </si>
  <si>
    <t>0919228226</t>
  </si>
  <si>
    <t>0010255084</t>
  </si>
  <si>
    <t>Nguyễn Mạnh Thắng</t>
  </si>
  <si>
    <t>00313542867691</t>
  </si>
  <si>
    <t>mtdao@ktxhcm.edu.vn</t>
  </si>
  <si>
    <t>0386840267</t>
  </si>
  <si>
    <t>0010255083</t>
  </si>
  <si>
    <t>00313542867690</t>
  </si>
  <si>
    <t>ntvanh@ktxhcm.edu.vn</t>
  </si>
  <si>
    <t>0983335253</t>
  </si>
  <si>
    <t>0010255082</t>
  </si>
  <si>
    <t>Nguyễn Thị Vân Anh</t>
  </si>
  <si>
    <t>00313542867689</t>
  </si>
  <si>
    <t>hpnthuy@ktxhcm.edu.vn</t>
  </si>
  <si>
    <t>0346877782</t>
  </si>
  <si>
    <t>0010255081</t>
  </si>
  <si>
    <t>Huỳnh Phan Nhật Thuỳ</t>
  </si>
  <si>
    <t>00317828138056</t>
  </si>
  <si>
    <t>hvdoi@ktxhcm.edu.vn</t>
  </si>
  <si>
    <t>0000558152</t>
  </si>
  <si>
    <t>Huỳnh Văn Đổi</t>
  </si>
  <si>
    <t>00317828150183</t>
  </si>
  <si>
    <t>ntngoc@ktxhcm.edu.vn</t>
  </si>
  <si>
    <t>0939249678</t>
  </si>
  <si>
    <t>0000570279</t>
  </si>
  <si>
    <t>00309249031914</t>
  </si>
  <si>
    <t>Phó Trưởng phòng</t>
  </si>
  <si>
    <t>pttu@ktxhcm.edu.vn</t>
  </si>
  <si>
    <t>0829120682</t>
  </si>
  <si>
    <t>0011386602</t>
  </si>
  <si>
    <t>00317828229024</t>
  </si>
  <si>
    <t>hvminh@ktxhcm.edu.vn</t>
  </si>
  <si>
    <t>0938440438</t>
  </si>
  <si>
    <t>0000649120</t>
  </si>
  <si>
    <t>00309249026101</t>
  </si>
  <si>
    <t>ntcdanh@ktxhcm.edu.vn</t>
  </si>
  <si>
    <t>0933010173</t>
  </si>
  <si>
    <t>0011380789</t>
  </si>
  <si>
    <t>00317827772422</t>
  </si>
  <si>
    <t>tkhoang@ktxhcm.edu.vn</t>
  </si>
  <si>
    <t>0937118328</t>
  </si>
  <si>
    <t>0000192518</t>
  </si>
  <si>
    <t>00300654911463</t>
  </si>
  <si>
    <t>ntdai@ktxhcm.edu.vn</t>
  </si>
  <si>
    <t>0908719938</t>
  </si>
  <si>
    <t>0007200743</t>
  </si>
  <si>
    <t>Nguyễn Tấn Đại</t>
  </si>
  <si>
    <t>00317827918375</t>
  </si>
  <si>
    <t>phem@ktxhcm.edu.vn</t>
  </si>
  <si>
    <t>0779983531</t>
  </si>
  <si>
    <t>0000338471</t>
  </si>
  <si>
    <t>Phạm Hoàng Em</t>
  </si>
  <si>
    <t>00317828170061</t>
  </si>
  <si>
    <t>cvhoang@ktxhcm.edu.vn</t>
  </si>
  <si>
    <t>0932163293</t>
  </si>
  <si>
    <t>0000590157</t>
  </si>
  <si>
    <t>Chu Văn Hoàng</t>
  </si>
  <si>
    <t>00317828181726</t>
  </si>
  <si>
    <t>nnquynh@ktxhcm.edu.vn</t>
  </si>
  <si>
    <t>0963139289</t>
  </si>
  <si>
    <t>0000601822</t>
  </si>
  <si>
    <t>Nguyễn Ngọc Quỳnh</t>
  </si>
  <si>
    <t>00313542842076</t>
  </si>
  <si>
    <t>lmthanh@ktxhcm.edu.vn</t>
  </si>
  <si>
    <t>0907995890</t>
  </si>
  <si>
    <t>0010229468</t>
  </si>
  <si>
    <t>Lê Minh Thanh</t>
  </si>
  <si>
    <t>00313542842075</t>
  </si>
  <si>
    <t>ttsy@ktxhcm.edu.vn</t>
  </si>
  <si>
    <t>0981539616</t>
  </si>
  <si>
    <t>0010229467</t>
  </si>
  <si>
    <t>Trần Tiến Sỹ</t>
  </si>
  <si>
    <t>00313542842074</t>
  </si>
  <si>
    <t>pxcuong@ktxhcm.edu.vn</t>
  </si>
  <si>
    <t>0396085708</t>
  </si>
  <si>
    <t>0010229466</t>
  </si>
  <si>
    <t>Phạm Xuân Cường</t>
  </si>
  <si>
    <t>00313542842073</t>
  </si>
  <si>
    <t>tntuan@ktxhcm.edu.vn</t>
  </si>
  <si>
    <t>0944123111</t>
  </si>
  <si>
    <t>0010229465</t>
  </si>
  <si>
    <t>Trần Ngọc Tuấn</t>
  </si>
  <si>
    <t>00313542842072</t>
  </si>
  <si>
    <t>thdung@ktxhcm.edu.vn</t>
  </si>
  <si>
    <t>0976227250</t>
  </si>
  <si>
    <t>0010229464</t>
  </si>
  <si>
    <t>Trần Hoàng Dũng</t>
  </si>
  <si>
    <t>00313542826862</t>
  </si>
  <si>
    <t>tvngoc@ktxhcm.edu.vn</t>
  </si>
  <si>
    <t>0938261000</t>
  </si>
  <si>
    <t>0010214254</t>
  </si>
  <si>
    <t>Thái Văn Ngọc</t>
  </si>
  <si>
    <t>00313542826863</t>
  </si>
  <si>
    <t>lvliem@ktxhcm.edu.vn</t>
  </si>
  <si>
    <t>0985709738</t>
  </si>
  <si>
    <t>0010214255</t>
  </si>
  <si>
    <t>Lương Văn Liêm</t>
  </si>
  <si>
    <t>00313542826864</t>
  </si>
  <si>
    <t>ndnguyen@ktxhcm.edu.vn</t>
  </si>
  <si>
    <t>0948578238</t>
  </si>
  <si>
    <t>0010214256</t>
  </si>
  <si>
    <t>Nguyễn Duy Nguyên</t>
  </si>
  <si>
    <t>00313542826865</t>
  </si>
  <si>
    <t>vhsinh@ktxhcm.edu.vn</t>
  </si>
  <si>
    <t>0379483192</t>
  </si>
  <si>
    <t>0010214257</t>
  </si>
  <si>
    <t>Võ Hồng Sinh</t>
  </si>
  <si>
    <t>00313542826866</t>
  </si>
  <si>
    <t>ppgiau@ktxhcm.edu.vn</t>
  </si>
  <si>
    <t>0901778568</t>
  </si>
  <si>
    <t>0010214258</t>
  </si>
  <si>
    <t>Phạm Phước Giàu</t>
  </si>
  <si>
    <t>00313542879246</t>
  </si>
  <si>
    <t>pvhoang@ktxhcm.edu.vn</t>
  </si>
  <si>
    <t>0986869032</t>
  </si>
  <si>
    <t>0010266638</t>
  </si>
  <si>
    <t>Phạm Văn Hoàng</t>
  </si>
  <si>
    <t>00313542879247</t>
  </si>
  <si>
    <t>pvnhan@ktxhcm.edu.vn</t>
  </si>
  <si>
    <t>0919097016</t>
  </si>
  <si>
    <t>0010266639</t>
  </si>
  <si>
    <t>Phạm Văn Nhân</t>
  </si>
  <si>
    <t>00313542879248</t>
  </si>
  <si>
    <t>nvhai@ktxhcm.edu.vn</t>
  </si>
  <si>
    <t>0901256880</t>
  </si>
  <si>
    <t>0010266640</t>
  </si>
  <si>
    <t>Nguyễn Văn Hải</t>
  </si>
  <si>
    <t>00313542879249</t>
  </si>
  <si>
    <t>hvhoa@ktxhcm.edu.vn</t>
  </si>
  <si>
    <t>0901610749</t>
  </si>
  <si>
    <t>0010266641</t>
  </si>
  <si>
    <t>Huỳnh Văn Hòa</t>
  </si>
  <si>
    <t>00313542879250</t>
  </si>
  <si>
    <t>nhphu@ktxhcm.edu.vn</t>
  </si>
  <si>
    <t>0564237472</t>
  </si>
  <si>
    <t>0010266642</t>
  </si>
  <si>
    <t>Nguyễn Hữu Phú</t>
  </si>
  <si>
    <t>00313542879165</t>
  </si>
  <si>
    <t>lvkhiem@ktxhcm.edu.vn</t>
  </si>
  <si>
    <t>0899917551</t>
  </si>
  <si>
    <t>0010266557</t>
  </si>
  <si>
    <t>Lê Văn Khiêm</t>
  </si>
  <si>
    <t>00313542879244</t>
  </si>
  <si>
    <t>tvkha@ktxhcm.edu.vn</t>
  </si>
  <si>
    <t>0363295579</t>
  </si>
  <si>
    <t>0010266636</t>
  </si>
  <si>
    <t>Trần Văn Khá</t>
  </si>
  <si>
    <t>00313542879241</t>
  </si>
  <si>
    <t>lhvu@ktxhcm.edu.vn</t>
  </si>
  <si>
    <t>0962829825</t>
  </si>
  <si>
    <t>0010266633</t>
  </si>
  <si>
    <t>00313542879242</t>
  </si>
  <si>
    <t>hhthanh@ktxhcm.edu.vn</t>
  </si>
  <si>
    <t>0901091378</t>
  </si>
  <si>
    <t>0010266634</t>
  </si>
  <si>
    <t>Huỳnh Hoàng Thanh</t>
  </si>
  <si>
    <t>00313542879245</t>
  </si>
  <si>
    <t>dmtoan@ktxhcm.edu.vn</t>
  </si>
  <si>
    <t>0965527173</t>
  </si>
  <si>
    <t>0010266637</t>
  </si>
  <si>
    <t>Đỗ Minh Toàn</t>
  </si>
  <si>
    <t>00313542871602</t>
  </si>
  <si>
    <t>ntkien@ktxhcm.edu.vn</t>
  </si>
  <si>
    <t>0376212019</t>
  </si>
  <si>
    <t>0010258994</t>
  </si>
  <si>
    <t>Nguyễn Trung Kiên</t>
  </si>
  <si>
    <t>00313542871601</t>
  </si>
  <si>
    <t>ntson@ktxhcm.edu.vn</t>
  </si>
  <si>
    <t>0901655427</t>
  </si>
  <si>
    <t>0010258993</t>
  </si>
  <si>
    <t>Nguyễn Thanh Sơn</t>
  </si>
  <si>
    <t>00313542871600</t>
  </si>
  <si>
    <t>nbhuong@ktxhcm.edu.vn</t>
  </si>
  <si>
    <t>0969556484</t>
  </si>
  <si>
    <t>0010258992</t>
  </si>
  <si>
    <t>00313542871599</t>
  </si>
  <si>
    <t>lvbao@ktxhcm.edu.vn</t>
  </si>
  <si>
    <t>0985674770</t>
  </si>
  <si>
    <t>0010258991</t>
  </si>
  <si>
    <t>Lê Văn Bảo</t>
  </si>
  <si>
    <t>00313542871598</t>
  </si>
  <si>
    <t>tvchung@ktxhcm.edu.vn</t>
  </si>
  <si>
    <t>0937101315</t>
  </si>
  <si>
    <t>0010258990</t>
  </si>
  <si>
    <t>00313542871607</t>
  </si>
  <si>
    <t>txthanh@ktxhcm.edu.vn</t>
  </si>
  <si>
    <t>0989114283</t>
  </si>
  <si>
    <t>0010258999</t>
  </si>
  <si>
    <t>Trần Xuân Thanh</t>
  </si>
  <si>
    <t>00313542871606</t>
  </si>
  <si>
    <t>nthanh@ktxhcm.edu.vn</t>
  </si>
  <si>
    <t>0346905659</t>
  </si>
  <si>
    <t>0010258998</t>
  </si>
  <si>
    <t>00313542871605</t>
  </si>
  <si>
    <t>ntthien@ktxhcm.edu.vn</t>
  </si>
  <si>
    <t>0916997366</t>
  </si>
  <si>
    <t>0010258997</t>
  </si>
  <si>
    <t>00313542871604</t>
  </si>
  <si>
    <t>nvluong@ktxhcm.edu.vn</t>
  </si>
  <si>
    <t>0977553177</t>
  </si>
  <si>
    <t>0010258996</t>
  </si>
  <si>
    <t>00313542871603</t>
  </si>
  <si>
    <t>nmnhat@ktxhcm.edu.vn</t>
  </si>
  <si>
    <t>0919183139</t>
  </si>
  <si>
    <t>0010258995</t>
  </si>
  <si>
    <t>00313542875590</t>
  </si>
  <si>
    <t>nxphuc@ktxhcm.edu.vn</t>
  </si>
  <si>
    <t>0338058749</t>
  </si>
  <si>
    <t>0010262982</t>
  </si>
  <si>
    <t>Nguyễn Xuân Phúc</t>
  </si>
  <si>
    <t>00313542875591</t>
  </si>
  <si>
    <t>nvdong@ktxhcm.edu.vn</t>
  </si>
  <si>
    <t>0976761586</t>
  </si>
  <si>
    <t>0010262983</t>
  </si>
  <si>
    <t>00313542875592</t>
  </si>
  <si>
    <t>bdhoa@ktxhcm.edu.vn</t>
  </si>
  <si>
    <t>0903651531</t>
  </si>
  <si>
    <t>0010262984</t>
  </si>
  <si>
    <t>Bùi Đức Hòa</t>
  </si>
  <si>
    <t>00313542875593</t>
  </si>
  <si>
    <t>tdnam@ktxhcm.edu.vn</t>
  </si>
  <si>
    <t>0987932859</t>
  </si>
  <si>
    <t>0010262985</t>
  </si>
  <si>
    <t>00313542875594</t>
  </si>
  <si>
    <t>htsang@ktxhcm.edu.vn</t>
  </si>
  <si>
    <t>0938563983</t>
  </si>
  <si>
    <t>0010262986</t>
  </si>
  <si>
    <t>00313542874192</t>
  </si>
  <si>
    <t>nvan@ktxhcm.edu.vn</t>
  </si>
  <si>
    <t>0388613693</t>
  </si>
  <si>
    <t>0010261584</t>
  </si>
  <si>
    <t>00313542875586</t>
  </si>
  <si>
    <t>htmanh@ktxhcm.edu.vn</t>
  </si>
  <si>
    <t>0975254987</t>
  </si>
  <si>
    <t>0010262978</t>
  </si>
  <si>
    <t>Hoàng Thế Mạnh</t>
  </si>
  <si>
    <t>00313542875587</t>
  </si>
  <si>
    <t>nvkha@ktxhcm.edu.vn</t>
  </si>
  <si>
    <t>0933178917</t>
  </si>
  <si>
    <t>0010262979</t>
  </si>
  <si>
    <t>00313542875588</t>
  </si>
  <si>
    <t>ndtien@ktxhcm.edu.vn</t>
  </si>
  <si>
    <t>0334457945</t>
  </si>
  <si>
    <t>0010262980</t>
  </si>
  <si>
    <t>Nguyễn Đình Tiến</t>
  </si>
  <si>
    <t>00313542875589</t>
  </si>
  <si>
    <t>pvgiang@ktxhcm.edu.vn</t>
  </si>
  <si>
    <t>0945949198</t>
  </si>
  <si>
    <t>0010262981</t>
  </si>
  <si>
    <t>Phan Văn Giang</t>
  </si>
  <si>
    <t>00313542836447</t>
  </si>
  <si>
    <t>nhcuong@ktxhcm.edu.vn</t>
  </si>
  <si>
    <t>0383862379</t>
  </si>
  <si>
    <t>0010223839</t>
  </si>
  <si>
    <t>Nguyễn Hồng Cường</t>
  </si>
  <si>
    <t>00313542836448</t>
  </si>
  <si>
    <t>dhduc@ktxhcm.edu.vn</t>
  </si>
  <si>
    <t>0384711537</t>
  </si>
  <si>
    <t>0010223840</t>
  </si>
  <si>
    <t>00313542836449</t>
  </si>
  <si>
    <t>ttxuyen@ktxhcm.edu.vn</t>
  </si>
  <si>
    <t>0902805122</t>
  </si>
  <si>
    <t>0010223841</t>
  </si>
  <si>
    <t>00313542836450</t>
  </si>
  <si>
    <t>ttxuan@ktxhcm.edu.vn</t>
  </si>
  <si>
    <t>0902051070</t>
  </si>
  <si>
    <t>0010223842</t>
  </si>
  <si>
    <t>00313542836451</t>
  </si>
  <si>
    <t>nttam@ktxhcm.edu.vn</t>
  </si>
  <si>
    <t>0979509355</t>
  </si>
  <si>
    <t>0010223843</t>
  </si>
  <si>
    <t>Nguyễn Thị Tâm</t>
  </si>
  <si>
    <t>00313542875285</t>
  </si>
  <si>
    <t>0963632194</t>
  </si>
  <si>
    <t>0010262677</t>
  </si>
  <si>
    <t>00313542875278</t>
  </si>
  <si>
    <t>nttrong@ktxhcm.edu.vn</t>
  </si>
  <si>
    <t>0988656545</t>
  </si>
  <si>
    <t>0010262670</t>
  </si>
  <si>
    <t>00313542875277</t>
  </si>
  <si>
    <t>0797815383</t>
  </si>
  <si>
    <t>0010262669</t>
  </si>
  <si>
    <t>00313542875276</t>
  </si>
  <si>
    <t>dtnhung@ktxhcm.edu.vn</t>
  </si>
  <si>
    <t>0966777927</t>
  </si>
  <si>
    <t>0010262668</t>
  </si>
  <si>
    <t>Đỗ Thị Nhung</t>
  </si>
  <si>
    <t>00313542875275</t>
  </si>
  <si>
    <t>dttmy@ktxhcm.edu.vn</t>
  </si>
  <si>
    <t>0979238294</t>
  </si>
  <si>
    <t>0010262667</t>
  </si>
  <si>
    <t>00313542874211</t>
  </si>
  <si>
    <t>nntan@ktxhcm.edu.vn</t>
  </si>
  <si>
    <t>0961812011</t>
  </si>
  <si>
    <t>0010261603</t>
  </si>
  <si>
    <t>00313542874212</t>
  </si>
  <si>
    <t>dtnga@ktxhcm.edu.vn</t>
  </si>
  <si>
    <t>0931536834</t>
  </si>
  <si>
    <t>0010261604</t>
  </si>
  <si>
    <t>00313542874213</t>
  </si>
  <si>
    <t>tpthao@ktxhcm.edu.vn</t>
  </si>
  <si>
    <t>0905862325</t>
  </si>
  <si>
    <t>0010261605</t>
  </si>
  <si>
    <t>Trịnh Phương Thảo</t>
  </si>
  <si>
    <t>00313542874214</t>
  </si>
  <si>
    <t>dthlam@ktxhcm.edu.vn</t>
  </si>
  <si>
    <t>0975437429</t>
  </si>
  <si>
    <t>0010261606</t>
  </si>
  <si>
    <t>Đặng Thị Hải Lam</t>
  </si>
  <si>
    <t>00313542874215</t>
  </si>
  <si>
    <t>nvloi@ktxhcm.edu.vn</t>
  </si>
  <si>
    <t>0929253538</t>
  </si>
  <si>
    <t>0010261607</t>
  </si>
  <si>
    <t>00313542885517</t>
  </si>
  <si>
    <t>vttlan@ktxhcm.edu.vn</t>
  </si>
  <si>
    <t>0918747221</t>
  </si>
  <si>
    <t>0010272909</t>
  </si>
  <si>
    <t>Võ Thị Thanh Lan</t>
  </si>
  <si>
    <t>00313542874207</t>
  </si>
  <si>
    <t>pvthin@ktxhcm.edu.vn</t>
  </si>
  <si>
    <t>0764850842</t>
  </si>
  <si>
    <t>Phòng Công tác sinh viên - Chuyển đổi số</t>
  </si>
  <si>
    <t>0010261599</t>
  </si>
  <si>
    <t>00313542874208</t>
  </si>
  <si>
    <t>pnvy@ktxhcm.edu.vn</t>
  </si>
  <si>
    <t>0975555009</t>
  </si>
  <si>
    <t>0010261600</t>
  </si>
  <si>
    <t>00313542874209</t>
  </si>
  <si>
    <t>pttuan@ktxhcm.edu.vn</t>
  </si>
  <si>
    <t>0817667937</t>
  </si>
  <si>
    <t>0010261601</t>
  </si>
  <si>
    <t>00313542874210</t>
  </si>
  <si>
    <t>tmthanh@ktxhcm.edu.vn</t>
  </si>
  <si>
    <t>0786321055</t>
  </si>
  <si>
    <t>0010261602</t>
  </si>
  <si>
    <t>00313542867823</t>
  </si>
  <si>
    <t>dxnguyen@ktxhcm.edu.vn</t>
  </si>
  <si>
    <t>0919575560</t>
  </si>
  <si>
    <t>0010255215</t>
  </si>
  <si>
    <t>Đinh Xuân Nguyên</t>
  </si>
  <si>
    <t>00313542867822</t>
  </si>
  <si>
    <t>ptklien@ktxhcm.edu.vn</t>
  </si>
  <si>
    <t>0966797432</t>
  </si>
  <si>
    <t>0010255214</t>
  </si>
  <si>
    <t>00313542867821</t>
  </si>
  <si>
    <t>clbao@ktxhcm.edu.vn</t>
  </si>
  <si>
    <t>0945511938</t>
  </si>
  <si>
    <t>0010255213</t>
  </si>
  <si>
    <t>00313542867820</t>
  </si>
  <si>
    <t>nttuy@ktxhcm.edu.vn</t>
  </si>
  <si>
    <t>0971165789</t>
  </si>
  <si>
    <t>0010255212</t>
  </si>
  <si>
    <t>00313542867819</t>
  </si>
  <si>
    <t>0908512988</t>
  </si>
  <si>
    <t>0010255211</t>
  </si>
  <si>
    <t>00313542867828</t>
  </si>
  <si>
    <t>tdhai@ktxhcm.edu.vn</t>
  </si>
  <si>
    <t>0934969798</t>
  </si>
  <si>
    <t>0010255220</t>
  </si>
  <si>
    <t>Trần Đông Hải</t>
  </si>
  <si>
    <t>00313542867827</t>
  </si>
  <si>
    <t>nbtuyen@ktxhcm.edu.vn</t>
  </si>
  <si>
    <t>0388186464</t>
  </si>
  <si>
    <t>0010255219</t>
  </si>
  <si>
    <t>Ninh Bá Tuyến</t>
  </si>
  <si>
    <t>00313542867826</t>
  </si>
  <si>
    <t>pnphuong@ktxhcm.edu.vn</t>
  </si>
  <si>
    <t>0947800007</t>
  </si>
  <si>
    <t>0010255218</t>
  </si>
  <si>
    <t>00313542867825</t>
  </si>
  <si>
    <t>ndtoanh@ktxhcm.edu.vn</t>
  </si>
  <si>
    <t>0984594129</t>
  </si>
  <si>
    <t>0010255217</t>
  </si>
  <si>
    <t>Nguyễn Đặng Tú Oanh</t>
  </si>
  <si>
    <t>00313542867824</t>
  </si>
  <si>
    <t>dtquyen@ktxhcm.edu.vn</t>
  </si>
  <si>
    <t>0908292697</t>
  </si>
  <si>
    <t>0010255216</t>
  </si>
  <si>
    <t>00313542866778</t>
  </si>
  <si>
    <t>thkim@ktxhcm.edu.vn</t>
  </si>
  <si>
    <t>0983088865</t>
  </si>
  <si>
    <t>0010254170</t>
  </si>
  <si>
    <t>Trần Hoàng Kim</t>
  </si>
  <si>
    <t>00313542866779</t>
  </si>
  <si>
    <t>ptvanh@ktxhcm.edu.vn</t>
  </si>
  <si>
    <t>0907036567</t>
  </si>
  <si>
    <t>0010254171</t>
  </si>
  <si>
    <t>Phạm Thị Vân Anh</t>
  </si>
  <si>
    <t>00313542866780</t>
  </si>
  <si>
    <t>nctuong@ktxhcm.edu.vn</t>
  </si>
  <si>
    <t>0988548128</t>
  </si>
  <si>
    <t>0010254172</t>
  </si>
  <si>
    <t>00313542866781</t>
  </si>
  <si>
    <t>ntxloan@ktxhcm.edu.vn</t>
  </si>
  <si>
    <t>0932652409</t>
  </si>
  <si>
    <t>0010254173</t>
  </si>
  <si>
    <t>00313542866782</t>
  </si>
  <si>
    <t>nhbtrung@ktxhcm.edu.vn</t>
  </si>
  <si>
    <t>0979432121</t>
  </si>
  <si>
    <t>0010254174</t>
  </si>
  <si>
    <t>00313542867092</t>
  </si>
  <si>
    <t>dbbinh@ktxhcm.edu.vn</t>
  </si>
  <si>
    <t>0987522466</t>
  </si>
  <si>
    <t>0010254484</t>
  </si>
  <si>
    <t>00313542867093</t>
  </si>
  <si>
    <t>tnhuy@ktxhcm.edu.vn</t>
  </si>
  <si>
    <t>0913816955</t>
  </si>
  <si>
    <t>0010254485</t>
  </si>
  <si>
    <t>Trần Ngọc Huy</t>
  </si>
  <si>
    <t>00313542867094</t>
  </si>
  <si>
    <t>ntdung@ktxhcm.edu.vn</t>
  </si>
  <si>
    <t>0522602605</t>
  </si>
  <si>
    <t>0010254486</t>
  </si>
  <si>
    <t>00313542867095</t>
  </si>
  <si>
    <t>ltkhien@ktxhcm.edu.vn</t>
  </si>
  <si>
    <t>0328910062</t>
  </si>
  <si>
    <t>0010254487</t>
  </si>
  <si>
    <t>Lương Thị Khánh Hiền</t>
  </si>
  <si>
    <t>00313542867096</t>
  </si>
  <si>
    <t>ltgiang@ktxhcm.edu.vn</t>
  </si>
  <si>
    <t>0974181508</t>
  </si>
  <si>
    <t>0010254488</t>
  </si>
  <si>
    <t>Lê Thị Giang</t>
  </si>
  <si>
    <t>00317828188737</t>
  </si>
  <si>
    <t>dtphuong@ktxhcm.edu.vn</t>
  </si>
  <si>
    <t>0789665990</t>
  </si>
  <si>
    <t>0000608833</t>
  </si>
  <si>
    <t>00300654938918</t>
  </si>
  <si>
    <t>ttktrang@ktxhcm.edu.vn</t>
  </si>
  <si>
    <t>0988034025</t>
  </si>
  <si>
    <t>0007228198</t>
  </si>
  <si>
    <t>Trần Thị Kiều Trang</t>
  </si>
  <si>
    <t>00317828188768</t>
  </si>
  <si>
    <t>dtdmy@ktxhcm.edu.vn</t>
  </si>
  <si>
    <t>0399210176</t>
  </si>
  <si>
    <t>0000608864</t>
  </si>
  <si>
    <t>00317828138772</t>
  </si>
  <si>
    <t>pttthuy@ktxhcm.edu.vn</t>
  </si>
  <si>
    <t>0989292425</t>
  </si>
  <si>
    <t>0000558868</t>
  </si>
  <si>
    <t>Phan Thị Thu Thủy</t>
  </si>
  <si>
    <t>00317828165799</t>
  </si>
  <si>
    <t>htanguyet@ktxhcm.edu.vn</t>
  </si>
  <si>
    <t>0327542814</t>
  </si>
  <si>
    <t>0000585895</t>
  </si>
  <si>
    <t>Hồ Thị Ánh Nguyệt</t>
  </si>
  <si>
    <t>00317827801299</t>
  </si>
  <si>
    <t>ttkthi@ktxhcm.edu.vn</t>
  </si>
  <si>
    <t>0913675137</t>
  </si>
  <si>
    <t>0000221395</t>
  </si>
  <si>
    <t>00317828218163</t>
  </si>
  <si>
    <t>ntttuyen@ktxhcm.edu.vn</t>
  </si>
  <si>
    <t>0989774558</t>
  </si>
  <si>
    <t>0000638259</t>
  </si>
  <si>
    <t>00317828137696</t>
  </si>
  <si>
    <t>htlhoa@ktxhcm.edu.vn</t>
  </si>
  <si>
    <t>0905609395</t>
  </si>
  <si>
    <t>0000557792</t>
  </si>
  <si>
    <t>Hồ Thị Lệ Hoa</t>
  </si>
  <si>
    <t>00317828203676</t>
  </si>
  <si>
    <t>nthang@ktxhcm.edu.vn</t>
  </si>
  <si>
    <t>0908878292</t>
  </si>
  <si>
    <t>0000623772</t>
  </si>
  <si>
    <t>00317827802118</t>
  </si>
  <si>
    <t>tccuong@ktxhcm.edu.vn</t>
  </si>
  <si>
    <t>0986177551</t>
  </si>
  <si>
    <t>0000222214</t>
  </si>
  <si>
    <t>00313542867764</t>
  </si>
  <si>
    <t>trungnv@ktxhcm.edu.vn</t>
  </si>
  <si>
    <t>0984130257</t>
  </si>
  <si>
    <t>0010255156</t>
  </si>
  <si>
    <t>00313542867765</t>
  </si>
  <si>
    <t>0343700774</t>
  </si>
  <si>
    <t>0010255157</t>
  </si>
  <si>
    <t>00313542867766</t>
  </si>
  <si>
    <t>lttuan@ktxhcm.edu.vn</t>
  </si>
  <si>
    <t>0938015679</t>
  </si>
  <si>
    <t>0010255158</t>
  </si>
  <si>
    <t>00313542867767</t>
  </si>
  <si>
    <t>ptttuyen@ktxhcm.edu.vn</t>
  </si>
  <si>
    <t>0865298959</t>
  </si>
  <si>
    <t>0010255159</t>
  </si>
  <si>
    <t>Phan Thị Thanh Tuyền</t>
  </si>
  <si>
    <t>00313542867768</t>
  </si>
  <si>
    <t>ptdinh@ktxhcm.edu.vn</t>
  </si>
  <si>
    <t>0986626213</t>
  </si>
  <si>
    <t>0010255160</t>
  </si>
  <si>
    <t>Phạm Thị Định</t>
  </si>
  <si>
    <t>00313542867759</t>
  </si>
  <si>
    <t>nthoai@ktxhcm.edu.vn</t>
  </si>
  <si>
    <t>0906627865</t>
  </si>
  <si>
    <t>0010255151</t>
  </si>
  <si>
    <t>Nguyễn Thị Hoài</t>
  </si>
  <si>
    <t>00313542867760</t>
  </si>
  <si>
    <t>hvdinh@ktxhcm.edu.vn</t>
  </si>
  <si>
    <t>0378973403</t>
  </si>
  <si>
    <t>0010255152</t>
  </si>
  <si>
    <t>Hoàng Văn Định</t>
  </si>
  <si>
    <t>00313542867761</t>
  </si>
  <si>
    <t>cltho@ktxhcm.edu.vn</t>
  </si>
  <si>
    <t>0937241271</t>
  </si>
  <si>
    <t>0010255153</t>
  </si>
  <si>
    <t>Cao Long Thọ</t>
  </si>
  <si>
    <t>00313542867762</t>
  </si>
  <si>
    <t>lxngoc@ktxhcm.edu.vn</t>
  </si>
  <si>
    <t>0982524951</t>
  </si>
  <si>
    <t>0010255154</t>
  </si>
  <si>
    <t>Lê Xuân Ngọc</t>
  </si>
  <si>
    <t>00313542867763</t>
  </si>
  <si>
    <t>bpnha@ktxhcm.edu.vn</t>
  </si>
  <si>
    <t>0933583548</t>
  </si>
  <si>
    <t>0010255155</t>
  </si>
  <si>
    <t>00317828162412</t>
  </si>
  <si>
    <t>tttuyet@ktxhcm.edu.vn</t>
  </si>
  <si>
    <t>0854395250</t>
  </si>
  <si>
    <t>0000582508</t>
  </si>
  <si>
    <t>00317827827285</t>
  </si>
  <si>
    <t>ptkthuong@ktxhcm.edu.vn</t>
  </si>
  <si>
    <t>0344974227</t>
  </si>
  <si>
    <t>0000247381</t>
  </si>
  <si>
    <t>Phan Thị Kim Thương</t>
  </si>
  <si>
    <t>00317828167254</t>
  </si>
  <si>
    <t>ntthao@ktxhcm.edu.vn</t>
  </si>
  <si>
    <t>0335616477</t>
  </si>
  <si>
    <t>0000587350</t>
  </si>
  <si>
    <t>00317828178286</t>
  </si>
  <si>
    <t>ntntram@ktxhcm.edu.vn</t>
  </si>
  <si>
    <t>0968003926</t>
  </si>
  <si>
    <t>0000598382</t>
  </si>
  <si>
    <t>00317828216961</t>
  </si>
  <si>
    <t>ntphuc@ktxhcm.edu.vn</t>
  </si>
  <si>
    <t>0901316012</t>
  </si>
  <si>
    <t>0000637057</t>
  </si>
  <si>
    <t>Nguyễn Thanh Phúc</t>
  </si>
  <si>
    <t>00317828224406</t>
  </si>
  <si>
    <t>vthuyen@ktxhcm.edu.vn</t>
  </si>
  <si>
    <t>0968366346</t>
  </si>
  <si>
    <t>0000644502</t>
  </si>
  <si>
    <t>00317828148702</t>
  </si>
  <si>
    <t>ndchinh@ktxhcm.edu.vn</t>
  </si>
  <si>
    <t>0906816817</t>
  </si>
  <si>
    <t>0000568798</t>
  </si>
  <si>
    <t>00317828191202</t>
  </si>
  <si>
    <t>ttnnhung@ktxhcm.edu.vn</t>
  </si>
  <si>
    <t>0939542886</t>
  </si>
  <si>
    <t>0000611298</t>
  </si>
  <si>
    <t>00317827834710</t>
  </si>
  <si>
    <t>pthtuoi@ktxhcm.edu.vn</t>
  </si>
  <si>
    <t>0983292429</t>
  </si>
  <si>
    <t>0000254806</t>
  </si>
  <si>
    <t>00317828179011</t>
  </si>
  <si>
    <t>ntmthanh@ktxhcm.edu.vn</t>
  </si>
  <si>
    <t>0909643438</t>
  </si>
  <si>
    <t>0000599107</t>
  </si>
  <si>
    <t>00313542844701</t>
  </si>
  <si>
    <t>00317827811219</t>
  </si>
  <si>
    <t>00317827681845</t>
  </si>
  <si>
    <t>00347894061177</t>
  </si>
  <si>
    <t>00347894061186</t>
  </si>
  <si>
    <t>00347894061195</t>
  </si>
  <si>
    <t>00347894061209</t>
  </si>
  <si>
    <t>image271.jpeg</t>
  </si>
  <si>
    <t>image289.jpeg</t>
  </si>
  <si>
    <t>image3.jpeg</t>
  </si>
  <si>
    <t>image63.jpeg</t>
  </si>
  <si>
    <t>image94.jpeg</t>
  </si>
  <si>
    <t>image152.jpeg</t>
  </si>
  <si>
    <t>image165.jpeg</t>
  </si>
  <si>
    <t>image282.jpeg</t>
  </si>
  <si>
    <t>image240.jpeg</t>
  </si>
  <si>
    <t>image169.jpeg</t>
  </si>
  <si>
    <t>image157.jpeg</t>
  </si>
  <si>
    <t>image20.jpeg</t>
  </si>
  <si>
    <t>image255.jpeg</t>
  </si>
  <si>
    <t>image42.jpeg</t>
  </si>
  <si>
    <t>image232.jpeg</t>
  </si>
  <si>
    <t>image209.jpeg</t>
  </si>
  <si>
    <t>image249.jpeg</t>
  </si>
  <si>
    <t>image27.jpeg</t>
  </si>
  <si>
    <t>image12.jpeg</t>
  </si>
  <si>
    <t>image154.jpeg</t>
  </si>
  <si>
    <t>image212.jpeg</t>
  </si>
  <si>
    <t>image21.jpeg</t>
  </si>
  <si>
    <t>image141.jpeg</t>
  </si>
  <si>
    <t>image19.jpeg</t>
  </si>
  <si>
    <t>image220.jpeg</t>
  </si>
  <si>
    <t>image283.jpeg</t>
  </si>
  <si>
    <t>image106.jpeg</t>
  </si>
  <si>
    <t>image110.jpeg</t>
  </si>
  <si>
    <t>image144.jpeg</t>
  </si>
  <si>
    <t>image114.jpeg</t>
  </si>
  <si>
    <t>image134.jpeg</t>
  </si>
  <si>
    <t>image166.jpeg</t>
  </si>
  <si>
    <t>image102.jpeg</t>
  </si>
  <si>
    <t>image9.jpeg</t>
  </si>
  <si>
    <t>image43.jpeg</t>
  </si>
  <si>
    <t>image82.jpeg</t>
  </si>
  <si>
    <t>image151.jpeg</t>
  </si>
  <si>
    <t>image107.jpeg</t>
  </si>
  <si>
    <t>image148.jpeg</t>
  </si>
  <si>
    <t>image45.jpeg</t>
  </si>
  <si>
    <t>image48.jpeg</t>
  </si>
  <si>
    <t>image67.jpeg</t>
  </si>
  <si>
    <t>image239.jpeg</t>
  </si>
  <si>
    <t>image78.jpeg</t>
  </si>
  <si>
    <t>image198.jpeg</t>
  </si>
  <si>
    <t>image181.jpeg</t>
  </si>
  <si>
    <t>image33.jpeg</t>
  </si>
  <si>
    <t>image158.jpeg</t>
  </si>
  <si>
    <t>image193.jpeg</t>
  </si>
  <si>
    <t>image276.jpeg</t>
  </si>
  <si>
    <t>image113.jpeg</t>
  </si>
  <si>
    <t>image178.jpeg</t>
  </si>
  <si>
    <t>image248.jpeg</t>
  </si>
  <si>
    <t>image74.jpeg</t>
  </si>
  <si>
    <t>image184.jpeg</t>
  </si>
  <si>
    <t>image25.jpeg</t>
  </si>
  <si>
    <t>image189.jpeg</t>
  </si>
  <si>
    <t>image234.jpeg</t>
  </si>
  <si>
    <t>image52.jpeg</t>
  </si>
  <si>
    <t>image56.jpeg</t>
  </si>
  <si>
    <t>image170.jpeg</t>
  </si>
  <si>
    <t>image40.jpeg</t>
  </si>
  <si>
    <t>image259.jpeg</t>
  </si>
  <si>
    <t>image142.jpeg</t>
  </si>
  <si>
    <t>image275.jpeg</t>
  </si>
  <si>
    <t>image161.jpeg</t>
  </si>
  <si>
    <t>image160.jpeg</t>
  </si>
  <si>
    <t>image90.jpeg</t>
  </si>
  <si>
    <t>image174.jpeg</t>
  </si>
  <si>
    <t>image252.jpeg</t>
  </si>
  <si>
    <t>image194.jpeg</t>
  </si>
  <si>
    <t>image86.jpeg</t>
  </si>
  <si>
    <t>image98.jpeg</t>
  </si>
  <si>
    <t>image260.jpeg</t>
  </si>
  <si>
    <t>image217.jpeg</t>
  </si>
  <si>
    <t>image64.jpeg</t>
  </si>
  <si>
    <t>image120.jpeg</t>
  </si>
  <si>
    <t>image146.jpeg</t>
  </si>
  <si>
    <t>image8.jpeg</t>
  </si>
  <si>
    <t>image290.jpeg</t>
  </si>
  <si>
    <t>image295.jpg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</si>
</sst>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ahoma"/>
      <family val="2"/>
    </font>
    <font>
      <sz val="12"/>
      <color theme="1"/>
      <name val="Tahoma"/>
      <family val="2"/>
    </font>
    <font>
      <sz val="10"/>
      <color theme="1"/>
      <name val="Arial"/>
      <family val="2"/>
    </font>
    <font>
      <sz val="12"/>
      <color theme="1"/>
      <name val="VNI-DOS Sample Font "/>
    </font>
    <font>
      <sz val="13"/>
      <color theme="1"/>
      <name val="Arial"/>
      <family val="2"/>
    </font>
    <font>
      <sz val="10"/>
      <color rgb="FF000000"/>
      <name val="Arial"/>
      <family val="2"/>
    </font>
    <font>
      <sz val="13"/>
      <color rgb="FF000000"/>
      <name val="Arial"/>
      <family val="2"/>
    </font>
    <font>
      <u/>
      <sz val="10"/>
      <color theme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9" fillId="0" borderId="0"/>
    <xf numFmtId="0" fontId="16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1" xfId="0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quotePrefix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quotePrefix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 wrapText="1"/>
    </xf>
    <xf numFmtId="0" fontId="1" fillId="2" borderId="0" xfId="0" quotePrefix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 wrapText="1"/>
    </xf>
    <xf numFmtId="0" fontId="6" fillId="2" borderId="3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left" vertical="center" wrapText="1"/>
    </xf>
    <xf numFmtId="49" fontId="1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49" fontId="10" fillId="0" borderId="0" xfId="2" applyNumberFormat="1" applyFont="1" applyAlignment="1">
      <alignment vertical="center"/>
    </xf>
    <xf numFmtId="0" fontId="11" fillId="0" borderId="1" xfId="2" applyFont="1" applyBorder="1"/>
    <xf numFmtId="0" fontId="9" fillId="0" borderId="1" xfId="2" applyBorder="1"/>
    <xf numFmtId="49" fontId="11" fillId="0" borderId="1" xfId="2" applyNumberFormat="1" applyFont="1" applyBorder="1"/>
    <xf numFmtId="0" fontId="11" fillId="0" borderId="1" xfId="2" applyFont="1" applyBorder="1" applyAlignment="1">
      <alignment horizontal="center" vertical="center" wrapText="1"/>
    </xf>
    <xf numFmtId="49" fontId="12" fillId="0" borderId="1" xfId="2" applyNumberFormat="1" applyFont="1" applyBorder="1" applyAlignment="1">
      <alignment horizontal="center" vertical="center"/>
    </xf>
    <xf numFmtId="0" fontId="13" fillId="0" borderId="1" xfId="2" applyFont="1" applyBorder="1" applyAlignment="1">
      <alignment horizontal="justify" vertical="center" wrapText="1"/>
    </xf>
    <xf numFmtId="0" fontId="13" fillId="3" borderId="1" xfId="2" applyFont="1" applyFill="1" applyBorder="1" applyAlignment="1">
      <alignment horizontal="justify" vertical="center" wrapText="1"/>
    </xf>
    <xf numFmtId="0" fontId="13" fillId="0" borderId="1" xfId="2" applyFont="1" applyBorder="1" applyAlignment="1">
      <alignment vertical="center" wrapText="1"/>
    </xf>
    <xf numFmtId="0" fontId="1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justify" vertical="center" wrapText="1"/>
    </xf>
    <xf numFmtId="0" fontId="15" fillId="0" borderId="1" xfId="2" applyFont="1" applyBorder="1" applyAlignment="1">
      <alignment vertical="center" wrapText="1"/>
    </xf>
    <xf numFmtId="0" fontId="16" fillId="0" borderId="1" xfId="3" applyBorder="1"/>
    <xf numFmtId="0" fontId="4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1" xfId="0" quotePrefix="1" applyNumberFormat="1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4">
    <cellStyle name="Hyperlink" xfId="1" builtinId="8"/>
    <cellStyle name="Hyperlink 2" xfId="3" xr:uid="{CD5C8A05-B33B-4B71-A9FA-584AD478BB9A}"/>
    <cellStyle name="Normal" xfId="0" builtinId="0"/>
    <cellStyle name="Normal 2" xfId="2" xr:uid="{2B72564A-05CD-48E1-AEA0-E4DEB3F1B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ownloads/DS%20Nhansu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vthin\Downloads\Copy%20of%2023.12.2025%20Danh%20s&#225;ch%20&#273;&#7841;i%20bi&#7875;u%20tham%20d&#7921;%20h&#7897;i%20ngh&#7883;%20VC,NL&#272;.xls" TargetMode="External"/><Relationship Id="rId1" Type="http://schemas.openxmlformats.org/officeDocument/2006/relationships/externalLinkPath" Target="/Users/pvthin/Downloads/Copy%20of%2023.12.2025%20Danh%20s&#225;ch%20&#273;&#7841;i%20bi&#7875;u%20tham%20d&#7921;%20h&#7897;i%20ngh&#7883;%20VC,NL&#27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"/>
    </sheetNames>
    <sheetDataSet>
      <sheetData sheetId="0">
        <row r="4">
          <cell r="A4" t="str">
            <v>Tăng Hữu Thủy</v>
          </cell>
          <cell r="B4" t="str">
            <v>052074003255</v>
          </cell>
          <cell r="C4" t="str">
            <v>ththuy@vnuhcm.edu.vn</v>
          </cell>
        </row>
        <row r="5">
          <cell r="A5" t="str">
            <v>Ngô Văn Hải</v>
          </cell>
          <cell r="B5" t="str">
            <v>038064036430</v>
          </cell>
          <cell r="C5" t="str">
            <v>nvhai@vnuhcm.edu.vn</v>
          </cell>
        </row>
        <row r="6">
          <cell r="A6" t="str">
            <v>Phùng Anh Kiệt</v>
          </cell>
          <cell r="B6" t="str">
            <v>082075008055</v>
          </cell>
          <cell r="C6" t="str">
            <v>anhkiet@vnuhcm.edu.vn</v>
          </cell>
        </row>
        <row r="7">
          <cell r="A7" t="str">
            <v>Phùng Thị Hương Lan</v>
          </cell>
          <cell r="B7" t="str">
            <v>034177018959</v>
          </cell>
          <cell r="C7" t="str">
            <v>huonglan@vnuhcm.edu.vn</v>
          </cell>
        </row>
        <row r="8">
          <cell r="A8" t="str">
            <v>Trần Việt Thắng</v>
          </cell>
          <cell r="B8" t="str">
            <v>079079032487</v>
          </cell>
          <cell r="C8" t="str">
            <v>tvthang@ktxhcm.edu.vn</v>
          </cell>
        </row>
        <row r="9">
          <cell r="A9" t="str">
            <v>Dương Văn Tuấn</v>
          </cell>
          <cell r="B9" t="str">
            <v>082077013772</v>
          </cell>
          <cell r="C9" t="str">
            <v>dvtuan@vnuhcm.edu.vn</v>
          </cell>
        </row>
        <row r="10">
          <cell r="A10" t="str">
            <v>PHÒNG TỔNG HỢP</v>
          </cell>
        </row>
        <row r="11">
          <cell r="A11" t="str">
            <v>Ngô Thị Mỹ Thạnh</v>
          </cell>
          <cell r="B11" t="str">
            <v>048182000489</v>
          </cell>
          <cell r="C11" t="str">
            <v>ntmthanh@ktxhcm.edu.vn</v>
          </cell>
        </row>
        <row r="12">
          <cell r="A12" t="str">
            <v>Nguyễn Đức Chinh</v>
          </cell>
          <cell r="B12" t="str">
            <v>070084007765</v>
          </cell>
          <cell r="C12" t="str">
            <v>ndchinh@ktxhcm.edu.vn</v>
          </cell>
        </row>
        <row r="13">
          <cell r="A13" t="str">
            <v>Trần Thị Ngọc Nhung</v>
          </cell>
          <cell r="B13" t="str">
            <v>082192002762</v>
          </cell>
          <cell r="C13" t="str">
            <v>ngocnhung@vnuhcm.edu.vn</v>
          </cell>
        </row>
        <row r="14">
          <cell r="A14" t="str">
            <v>Phan Thị Hồng Tươi</v>
          </cell>
          <cell r="B14" t="str">
            <v>075185018431</v>
          </cell>
          <cell r="C14" t="str">
            <v>pthtuoi@ktxhcm.edu.vn</v>
          </cell>
        </row>
        <row r="15">
          <cell r="A15" t="str">
            <v>Võ Thị Huyền</v>
          </cell>
          <cell r="B15" t="str">
            <v>044197006714</v>
          </cell>
          <cell r="C15" t="str">
            <v>vohuyen07081997@gmail.com</v>
          </cell>
        </row>
        <row r="16">
          <cell r="A16" t="str">
            <v>Bùi Phạm Ngọc Hà</v>
          </cell>
          <cell r="B16" t="str">
            <v>074199000787</v>
          </cell>
          <cell r="C16" t="str">
            <v>bpnha@ktxhcm.edu.vn</v>
          </cell>
        </row>
        <row r="17">
          <cell r="A17" t="str">
            <v>Hồ Thị Thu Hiền</v>
          </cell>
          <cell r="B17" t="str">
            <v>040196030707</v>
          </cell>
          <cell r="C17" t="str">
            <v>htthien@ktxhcm.edu.vn</v>
          </cell>
        </row>
        <row r="18">
          <cell r="A18" t="str">
            <v>Nguyễn Thanh Thảo</v>
          </cell>
          <cell r="B18" t="str">
            <v>094199004038</v>
          </cell>
          <cell r="C18" t="str">
            <v>ntthao@ktxhcm.edu.vn</v>
          </cell>
        </row>
        <row r="19">
          <cell r="A19" t="str">
            <v>Phan Thị Kim Thương</v>
          </cell>
          <cell r="B19" t="str">
            <v>052300009892</v>
          </cell>
          <cell r="C19" t="str">
            <v>ptkthuong@ktxhcm.edu.vn</v>
          </cell>
        </row>
        <row r="20">
          <cell r="A20" t="str">
            <v>Nguyễn Thị Ngọc Trâm</v>
          </cell>
          <cell r="B20" t="str">
            <v>062198003387</v>
          </cell>
          <cell r="C20" t="str">
            <v>ntntram@ktxhcm.edu.vn</v>
          </cell>
        </row>
        <row r="21">
          <cell r="A21" t="str">
            <v>Lê Thị Thùy Trang</v>
          </cell>
          <cell r="B21" t="str">
            <v>044197002221</v>
          </cell>
          <cell r="C21" t="str">
            <v>trangltt@ktxhcm.edu.vn</v>
          </cell>
        </row>
        <row r="22">
          <cell r="A22" t="str">
            <v>Phan Thị Thanh Tuyền</v>
          </cell>
          <cell r="B22" t="str">
            <v>080198007680</v>
          </cell>
          <cell r="C22" t="str">
            <v>ptttuyen@ktxhcm.edu.vn</v>
          </cell>
        </row>
        <row r="23">
          <cell r="A23" t="str">
            <v>Trần Thị Tuyết</v>
          </cell>
          <cell r="B23" t="str">
            <v>054175002772</v>
          </cell>
          <cell r="C23" t="str">
            <v>tttuyet@ktxhcm.edu.vn</v>
          </cell>
        </row>
        <row r="24">
          <cell r="A24" t="str">
            <v>Hoàng Văn Định</v>
          </cell>
          <cell r="B24" t="str">
            <v>038073018358</v>
          </cell>
          <cell r="C24" t="str">
            <v>hvdinh@ktxhcm.edu.vn</v>
          </cell>
        </row>
        <row r="25">
          <cell r="A25" t="str">
            <v>Nguyễn Thị Hoài</v>
          </cell>
          <cell r="B25" t="str">
            <v>040175029487</v>
          </cell>
          <cell r="C25" t="str">
            <v>nthoai@ktxhcm.edu.vn</v>
          </cell>
        </row>
        <row r="26">
          <cell r="A26" t="str">
            <v>Nguyễn Văn Bá Khương</v>
          </cell>
          <cell r="B26" t="str">
            <v>086080002477</v>
          </cell>
          <cell r="C26" t="str">
            <v>nvbkhuong@ktxhcm.edu.vn</v>
          </cell>
        </row>
        <row r="27">
          <cell r="A27" t="str">
            <v>Lê Xuân Ngọc</v>
          </cell>
          <cell r="B27" t="str">
            <v>038075016438</v>
          </cell>
          <cell r="C27" t="str">
            <v>lxngoc@ktxhcm.edu.vn</v>
          </cell>
        </row>
        <row r="28">
          <cell r="A28" t="str">
            <v>Cao Long Thọ</v>
          </cell>
          <cell r="B28" t="str">
            <v>044071001302</v>
          </cell>
          <cell r="C28" t="str">
            <v>cltho@ktxhcm.edu.vn</v>
          </cell>
        </row>
        <row r="29">
          <cell r="A29" t="str">
            <v>PHÒNG KẾ HOẠCH - TÀI CHÍNH</v>
          </cell>
        </row>
        <row r="30">
          <cell r="A30" t="str">
            <v>Lại Thế Tuân</v>
          </cell>
          <cell r="B30" t="str">
            <v>038079038115</v>
          </cell>
          <cell r="C30" t="str">
            <v>lttuan@vnuhcm.edu.vn</v>
          </cell>
        </row>
        <row r="31">
          <cell r="A31" t="str">
            <v>Trương Thị Lời</v>
          </cell>
          <cell r="B31" t="str">
            <v>052191020632</v>
          </cell>
          <cell r="C31" t="str">
            <v>loiktx0607@gmail.com</v>
          </cell>
        </row>
        <row r="32">
          <cell r="A32" t="str">
            <v>Nguyễn Việt Trung</v>
          </cell>
          <cell r="B32" t="str">
            <v>066084009464</v>
          </cell>
          <cell r="C32" t="str">
            <v>trungnv@ktxhcm.edu.vn</v>
          </cell>
        </row>
        <row r="33">
          <cell r="A33" t="str">
            <v>Trần Cao Cường</v>
          </cell>
          <cell r="B33" t="str">
            <v>036086006308</v>
          </cell>
          <cell r="C33" t="str">
            <v>tccuong@ktxhcm.edu.vn</v>
          </cell>
        </row>
        <row r="34">
          <cell r="A34" t="str">
            <v>Nguyễn Thùy Dung</v>
          </cell>
          <cell r="B34" t="str">
            <v>034300011409</v>
          </cell>
          <cell r="C34" t="str">
            <v>ntdung@ktxhcm.edu.vn</v>
          </cell>
        </row>
        <row r="35">
          <cell r="A35" t="str">
            <v>Lê Thị Giang</v>
          </cell>
          <cell r="B35" t="str">
            <v>066199011370</v>
          </cell>
          <cell r="C35" t="str">
            <v>ltgiang@ktxhcm.edu.vn</v>
          </cell>
        </row>
        <row r="36">
          <cell r="A36" t="str">
            <v>Nguyễn Thị Hằng</v>
          </cell>
          <cell r="B36" t="str">
            <v>036176014814</v>
          </cell>
          <cell r="C36" t="str">
            <v>nthang@ktxhcm.edu.vn</v>
          </cell>
        </row>
        <row r="37">
          <cell r="A37" t="str">
            <v>Lương Thị Khánh Hiền</v>
          </cell>
          <cell r="B37" t="str">
            <v>034199003972</v>
          </cell>
          <cell r="C37" t="str">
            <v>ltkhien@ktxhcm.edu.vn</v>
          </cell>
        </row>
        <row r="38">
          <cell r="A38" t="str">
            <v>Hồ Thị Lệ Hoa</v>
          </cell>
          <cell r="B38" t="str">
            <v>052177012547</v>
          </cell>
          <cell r="C38" t="str">
            <v>htlhoa@ktxhcm.edu.vn</v>
          </cell>
        </row>
        <row r="39">
          <cell r="A39" t="str">
            <v>Trần Ngọc Huy</v>
          </cell>
          <cell r="B39" t="str">
            <v>077200004686</v>
          </cell>
        </row>
        <row r="40">
          <cell r="A40" t="str">
            <v>Dương Thị Diệu Mỹ</v>
          </cell>
          <cell r="B40" t="str">
            <v>046193009778</v>
          </cell>
          <cell r="C40" t="str">
            <v>dtdmy@ktxhcm.edu.vn</v>
          </cell>
        </row>
        <row r="41">
          <cell r="A41" t="str">
            <v>Hồ Thị Ánh Nguyệt</v>
          </cell>
          <cell r="B41" t="str">
            <v>052198009014</v>
          </cell>
          <cell r="C41" t="str">
            <v>htanguyet@ktxhcm.edu.vn</v>
          </cell>
        </row>
        <row r="42">
          <cell r="A42" t="str">
            <v>Đặng Thị Phương</v>
          </cell>
          <cell r="B42" t="str">
            <v>042194000293</v>
          </cell>
          <cell r="C42" t="str">
            <v>dtphuong@ktxhcm.edu.vn</v>
          </cell>
        </row>
        <row r="43">
          <cell r="A43" t="str">
            <v>Trần Thị Kim Thi</v>
          </cell>
          <cell r="B43" t="str">
            <v>051194010266</v>
          </cell>
          <cell r="C43" t="str">
            <v>ttkthi@ktxhcm.edu.vn</v>
          </cell>
        </row>
        <row r="44">
          <cell r="A44" t="str">
            <v>Phan Thị Thu Thủy</v>
          </cell>
          <cell r="B44" t="str">
            <v>052186011024</v>
          </cell>
          <cell r="C44" t="str">
            <v>pttthuy@ktxhcm.edu.vn</v>
          </cell>
        </row>
        <row r="45">
          <cell r="A45" t="str">
            <v>Trần Thị Kiều Trang</v>
          </cell>
          <cell r="B45" t="str">
            <v>042198008174</v>
          </cell>
          <cell r="C45" t="str">
            <v>ttktrang@ktxhcm.edu.vn</v>
          </cell>
        </row>
        <row r="46">
          <cell r="A46" t="str">
            <v>Nguyễn Thị Thanh Tuyền</v>
          </cell>
          <cell r="B46" t="str">
            <v>052183018949</v>
          </cell>
          <cell r="C46" t="str">
            <v>ntttuyen@ktxhcm.edu.vn</v>
          </cell>
        </row>
        <row r="47">
          <cell r="A47" t="str">
            <v>PHÒNG DỊCH VỤ - DỰ ÁN</v>
          </cell>
        </row>
        <row r="48">
          <cell r="A48" t="str">
            <v>Nguyễn Văn Lợi</v>
          </cell>
          <cell r="B48" t="str">
            <v>036087021699</v>
          </cell>
          <cell r="C48" t="str">
            <v>nvloi@ktxhcm.edu.vn</v>
          </cell>
        </row>
        <row r="49">
          <cell r="A49" t="str">
            <v>Đặng Thị Hải Lam</v>
          </cell>
          <cell r="B49" t="str">
            <v>040188034357</v>
          </cell>
          <cell r="C49" t="str">
            <v>dthlam@ktxhcm.edu.vn</v>
          </cell>
        </row>
        <row r="50">
          <cell r="A50" t="str">
            <v>Đặng Thị Trà My</v>
          </cell>
          <cell r="B50" t="str">
            <v>052198002926</v>
          </cell>
          <cell r="C50" t="str">
            <v>dttmy@ktxhcm.edu.vn</v>
          </cell>
        </row>
        <row r="51">
          <cell r="A51" t="str">
            <v>Đặng Thị Nga</v>
          </cell>
          <cell r="B51" t="str">
            <v>064191005736</v>
          </cell>
          <cell r="C51" t="str">
            <v>dtnga@ktxhcm.edu.vn</v>
          </cell>
        </row>
        <row r="52">
          <cell r="A52" t="str">
            <v>Nguyễn Nhật Tân</v>
          </cell>
          <cell r="B52" t="str">
            <v>075200003513</v>
          </cell>
          <cell r="C52" t="str">
            <v>nntan@ktxhcm.edu.vn</v>
          </cell>
        </row>
        <row r="53">
          <cell r="A53" t="str">
            <v>Trịnh Phương Thảo</v>
          </cell>
          <cell r="B53" t="str">
            <v>038181017298</v>
          </cell>
          <cell r="C53" t="str">
            <v>tpthao@ktxhcm.edu.vn</v>
          </cell>
        </row>
        <row r="54">
          <cell r="A54" t="str">
            <v>Nguyễn Hữu Lân</v>
          </cell>
          <cell r="B54" t="str">
            <v>052092020863</v>
          </cell>
        </row>
        <row r="55">
          <cell r="A55" t="str">
            <v>Đỗ Thị Nhung</v>
          </cell>
          <cell r="B55" t="str">
            <v>038190057168</v>
          </cell>
          <cell r="C55" t="str">
            <v>dtnhung@ktxhcm.edu.vn</v>
          </cell>
        </row>
        <row r="56">
          <cell r="A56" t="str">
            <v>PHÒNG AN NINH TRẬT TỰ</v>
          </cell>
        </row>
        <row r="57">
          <cell r="A57" t="str">
            <v>Trần Đình Nam</v>
          </cell>
          <cell r="B57" t="str">
            <v>040074018091</v>
          </cell>
          <cell r="C57" t="str">
            <v>tdnam@ktxhcm.edu.vn</v>
          </cell>
        </row>
        <row r="58">
          <cell r="A58" t="str">
            <v>Nguyễn Công Tường</v>
          </cell>
          <cell r="B58" t="str">
            <v>046082030870</v>
          </cell>
          <cell r="C58" t="str">
            <v>nctuong@vnuhcm.edu.vn</v>
          </cell>
        </row>
        <row r="59">
          <cell r="A59" t="str">
            <v>Nguyễn Viết Đồng</v>
          </cell>
          <cell r="B59" t="str">
            <v>042083017414</v>
          </cell>
          <cell r="C59" t="str">
            <v>nvdong@ktxhcm.edu.vn</v>
          </cell>
        </row>
        <row r="60">
          <cell r="A60" t="str">
            <v>Đoàn Tiến Dũng</v>
          </cell>
          <cell r="B60" t="str">
            <v>044086007710</v>
          </cell>
          <cell r="C60" t="str">
            <v>dtdung@ktxhcm.edu.vn</v>
          </cell>
        </row>
        <row r="61">
          <cell r="A61" t="str">
            <v>Nguyễn Thị Hạnh</v>
          </cell>
          <cell r="B61" t="str">
            <v>042185005773</v>
          </cell>
          <cell r="C61" t="str">
            <v>nthanh@ktxhcm.edu.vn</v>
          </cell>
        </row>
        <row r="62">
          <cell r="A62" t="str">
            <v>Bùi Đức Hòa</v>
          </cell>
          <cell r="B62" t="str">
            <v>019077000235</v>
          </cell>
          <cell r="C62" t="str">
            <v>bdhoa@ktxhcm.edu.vn</v>
          </cell>
        </row>
        <row r="63">
          <cell r="A63" t="str">
            <v>Nguyễn Trọng Thiện</v>
          </cell>
          <cell r="B63" t="str">
            <v>033083000240</v>
          </cell>
          <cell r="C63" t="str">
            <v>ntthien@ktxhcm.edu.vn</v>
          </cell>
        </row>
        <row r="64">
          <cell r="A64" t="str">
            <v>Nguyễn Tiến Bản</v>
          </cell>
          <cell r="B64" t="str">
            <v>042082010309</v>
          </cell>
          <cell r="C64" t="str">
            <v>ntban@ktxhcm.edu.vn</v>
          </cell>
        </row>
        <row r="65">
          <cell r="A65" t="str">
            <v>Trịnh Văn Chung</v>
          </cell>
          <cell r="B65" t="str">
            <v>038076011745</v>
          </cell>
          <cell r="C65" t="str">
            <v>tvchung@ktxhcm.edu.vn</v>
          </cell>
        </row>
        <row r="66">
          <cell r="A66" t="str">
            <v>Nguyễn Tấn Đại</v>
          </cell>
          <cell r="B66" t="str">
            <v>074088007548</v>
          </cell>
          <cell r="C66" t="str">
            <v>ntdai@ktxhcm.edu.vn</v>
          </cell>
        </row>
        <row r="67">
          <cell r="A67" t="str">
            <v>Nguyễn Trần Công Danh</v>
          </cell>
          <cell r="B67" t="str">
            <v>074084008367</v>
          </cell>
          <cell r="C67" t="str">
            <v>ntcdanh@ktxhcm.edu.vn</v>
          </cell>
        </row>
        <row r="68">
          <cell r="A68" t="str">
            <v>Trần Kim Hoàng</v>
          </cell>
          <cell r="B68" t="str">
            <v>074093005297</v>
          </cell>
          <cell r="C68" t="str">
            <v>tkhoang@ktxhcm.edu.vn</v>
          </cell>
        </row>
        <row r="69">
          <cell r="A69" t="str">
            <v>Nguyễn Bằng Hướng</v>
          </cell>
          <cell r="B69" t="str">
            <v>040072007395</v>
          </cell>
          <cell r="C69" t="str">
            <v>nbhuong@ktxhcm.edu.vn</v>
          </cell>
        </row>
        <row r="70">
          <cell r="A70" t="str">
            <v>Nguyễn Văn Khanh</v>
          </cell>
          <cell r="B70" t="str">
            <v>075092009301</v>
          </cell>
          <cell r="C70" t="str">
            <v>nvkhanh@ktxhcm.edu.vn</v>
          </cell>
        </row>
        <row r="71">
          <cell r="A71" t="str">
            <v>Nguyễn Trung Kiên</v>
          </cell>
          <cell r="B71" t="str">
            <v>034076007644</v>
          </cell>
          <cell r="C71" t="str">
            <v>ntkien@ktxhcm.edu.vn</v>
          </cell>
        </row>
        <row r="72">
          <cell r="A72" t="str">
            <v>Nguyễn Văn Lương</v>
          </cell>
          <cell r="B72" t="str">
            <v>038077027467</v>
          </cell>
          <cell r="C72" t="str">
            <v>nvluong@ktxhcm.edu.vn</v>
          </cell>
        </row>
        <row r="73">
          <cell r="A73" t="str">
            <v>Nguyễn Minh Nhật</v>
          </cell>
          <cell r="B73" t="str">
            <v>068082008364</v>
          </cell>
          <cell r="C73" t="str">
            <v>nmnhat@ktxhcm.edu.vn</v>
          </cell>
        </row>
        <row r="74">
          <cell r="A74" t="str">
            <v>Nguyễn Thị Phòng</v>
          </cell>
          <cell r="B74" t="str">
            <v>040191009115</v>
          </cell>
          <cell r="C74" t="str">
            <v>ntphong@ktxhcm.edu.vn</v>
          </cell>
        </row>
        <row r="75">
          <cell r="A75" t="str">
            <v>Lâm Văn Sơn</v>
          </cell>
          <cell r="B75" t="str">
            <v>079095018885</v>
          </cell>
          <cell r="C75" t="str">
            <v>lvson@ktxhcm.edu.vn</v>
          </cell>
        </row>
        <row r="76">
          <cell r="A76" t="str">
            <v>Nguyễn Thanh Sơn</v>
          </cell>
          <cell r="B76" t="str">
            <v>079095000920</v>
          </cell>
          <cell r="C76" t="str">
            <v>ntson@ktxhcm.edu.vn</v>
          </cell>
        </row>
        <row r="77">
          <cell r="A77" t="str">
            <v>Đinh Xuân Sơn</v>
          </cell>
          <cell r="B77" t="str">
            <v>040079016393</v>
          </cell>
          <cell r="C77" t="str">
            <v>dxson@ktxhcm.edu.vn</v>
          </cell>
        </row>
        <row r="78">
          <cell r="A78" t="str">
            <v>Huỳnh Hoàng Thanh</v>
          </cell>
          <cell r="B78" t="str">
            <v>084099003539</v>
          </cell>
          <cell r="C78" t="str">
            <v>hhthanh@ktxhcm.edu.vn</v>
          </cell>
        </row>
        <row r="79">
          <cell r="A79" t="str">
            <v>Trần Xuân Thanh</v>
          </cell>
          <cell r="B79" t="str">
            <v>074080002967</v>
          </cell>
          <cell r="C79" t="str">
            <v>txthanh@ktxhcm.edu.vn</v>
          </cell>
        </row>
        <row r="80">
          <cell r="A80" t="str">
            <v>Đỗ Minh Toàn</v>
          </cell>
          <cell r="B80" t="str">
            <v>072091002301</v>
          </cell>
          <cell r="C80" t="str">
            <v>dmtoan@ktxhcm.edu.vn</v>
          </cell>
        </row>
        <row r="81">
          <cell r="A81" t="str">
            <v>Lê Hồng Vũ</v>
          </cell>
          <cell r="B81" t="str">
            <v>074094008227</v>
          </cell>
          <cell r="C81" t="str">
            <v>lhvu@ktxhcm.edu.vn</v>
          </cell>
        </row>
        <row r="82">
          <cell r="A82" t="str">
            <v>Lê Văn Bảo</v>
          </cell>
          <cell r="B82" t="str">
            <v>054075001371</v>
          </cell>
          <cell r="C82" t="str">
            <v>lvbao@ktxhcm.edu.vn</v>
          </cell>
        </row>
        <row r="83">
          <cell r="A83" t="str">
            <v>Trần Hoàng Dũng</v>
          </cell>
          <cell r="B83" t="str">
            <v>074083007494</v>
          </cell>
          <cell r="C83" t="str">
            <v>thdung@ktxhcm.edu.vn</v>
          </cell>
        </row>
        <row r="84">
          <cell r="A84" t="str">
            <v>Phạm Hoàng Em</v>
          </cell>
          <cell r="B84" t="str">
            <v>086079000886</v>
          </cell>
          <cell r="C84" t="str">
            <v>phem@ktxhcm.edu.vn</v>
          </cell>
        </row>
        <row r="85">
          <cell r="A85" t="str">
            <v>Phạm Phước Giàu</v>
          </cell>
          <cell r="B85" t="str">
            <v>074088009468</v>
          </cell>
          <cell r="C85" t="str">
            <v>ppgiau@ktxhcm.edu.vn</v>
          </cell>
        </row>
        <row r="86">
          <cell r="A86" t="str">
            <v>Chu Văn Hoàng</v>
          </cell>
          <cell r="B86" t="str">
            <v>040072000185</v>
          </cell>
          <cell r="C86" t="str">
            <v>cvhoang@ktxhcm.edu.vn</v>
          </cell>
        </row>
        <row r="87">
          <cell r="A87" t="str">
            <v>Lê Văn Khiêm</v>
          </cell>
          <cell r="B87" t="str">
            <v>074089006925</v>
          </cell>
          <cell r="C87" t="str">
            <v>lvkhiem@ktxhcm.edu.vn</v>
          </cell>
        </row>
        <row r="88">
          <cell r="A88" t="str">
            <v>Thái Văn Ngọc</v>
          </cell>
          <cell r="B88" t="str">
            <v>074088005861</v>
          </cell>
          <cell r="C88" t="str">
            <v>tvngoc@ktxhcm.edu.vn</v>
          </cell>
        </row>
        <row r="89">
          <cell r="A89" t="str">
            <v>Đỗ Anh Tài</v>
          </cell>
          <cell r="B89" t="str">
            <v>038073020505</v>
          </cell>
          <cell r="C89" t="str">
            <v>datai@ktxhcm.edu.vn</v>
          </cell>
        </row>
        <row r="90">
          <cell r="A90" t="str">
            <v>Bùi Công Tiếp</v>
          </cell>
          <cell r="B90" t="str">
            <v>030075013726</v>
          </cell>
          <cell r="C90" t="str">
            <v>bctiep@ktxhcm.edu.vn</v>
          </cell>
        </row>
        <row r="91">
          <cell r="A91" t="str">
            <v>PHÒNG CÔNG TÁC SINH VIÊN - CHUYỂN ĐỔI SỐ</v>
          </cell>
        </row>
        <row r="92">
          <cell r="A92" t="str">
            <v>Đặng Bá Bính</v>
          </cell>
          <cell r="B92" t="str">
            <v>040076016070</v>
          </cell>
          <cell r="C92" t="str">
            <v>dbbinh@ktxhcm.edu.vn</v>
          </cell>
        </row>
        <row r="93">
          <cell r="A93" t="str">
            <v>Nguyễn Thị Xuân Loan</v>
          </cell>
          <cell r="B93" t="str">
            <v>060189016675</v>
          </cell>
          <cell r="C93" t="str">
            <v>ntxloan@ktxhcm.edu.vn</v>
          </cell>
        </row>
        <row r="94">
          <cell r="A94" t="str">
            <v>Nguyễn Hoàng Bảo Trung</v>
          </cell>
          <cell r="B94" t="str">
            <v>087089019199</v>
          </cell>
          <cell r="C94" t="str">
            <v>nhbtrung@ktxhcm.edu.vn</v>
          </cell>
        </row>
        <row r="95">
          <cell r="A95" t="str">
            <v>Phạm Thị Vân Anh</v>
          </cell>
          <cell r="B95" t="str">
            <v>034181008345</v>
          </cell>
          <cell r="C95" t="str">
            <v>ptvanh@ktxhcm.edu.vn</v>
          </cell>
        </row>
        <row r="96">
          <cell r="A96" t="str">
            <v>Chề Long Bảo</v>
          </cell>
          <cell r="B96" t="str">
            <v>079099026760</v>
          </cell>
          <cell r="C96" t="str">
            <v>clbao@ktxhcm.edu.vn</v>
          </cell>
        </row>
        <row r="97">
          <cell r="A97" t="str">
            <v>Trần Hoàng Kim</v>
          </cell>
          <cell r="B97" t="str">
            <v>086184006875</v>
          </cell>
          <cell r="C97" t="str">
            <v>thkim@ktxhcm.edu.vn</v>
          </cell>
        </row>
        <row r="98">
          <cell r="A98" t="str">
            <v>Phùng Thị Kim Liên</v>
          </cell>
          <cell r="B98" t="str">
            <v>025184011415</v>
          </cell>
          <cell r="C98" t="str">
            <v>ptklien@ktxhcm.edu.vn</v>
          </cell>
        </row>
        <row r="99">
          <cell r="A99" t="str">
            <v>Đinh Xuân Nguyên</v>
          </cell>
          <cell r="B99" t="str">
            <v>089085032116</v>
          </cell>
          <cell r="C99" t="str">
            <v>dxnguyen@ktxhcm.edu.vn</v>
          </cell>
        </row>
        <row r="100">
          <cell r="A100" t="str">
            <v>Phạm Nhất Phương</v>
          </cell>
          <cell r="B100" t="str">
            <v>082081000085</v>
          </cell>
          <cell r="C100" t="str">
            <v>pnphuong@ktxhcm.edu.vn</v>
          </cell>
        </row>
        <row r="101">
          <cell r="A101" t="str">
            <v>Đinh Thị Quyền</v>
          </cell>
          <cell r="B101" t="str">
            <v>080183004673</v>
          </cell>
          <cell r="C101" t="str">
            <v>dtquyen@ktxhcm.edu.vn</v>
          </cell>
        </row>
        <row r="102">
          <cell r="A102" t="str">
            <v>Trần Minh Thành</v>
          </cell>
          <cell r="B102" t="str">
            <v>070092008110</v>
          </cell>
          <cell r="C102" t="str">
            <v>tmthanh@ktxhcm.edu.vn</v>
          </cell>
        </row>
        <row r="103">
          <cell r="A103" t="str">
            <v>Đinh Thị Thủy</v>
          </cell>
          <cell r="B103" t="str">
            <v>056183001368</v>
          </cell>
          <cell r="C103" t="str">
            <v>dtthuyktx@gmail.com</v>
          </cell>
        </row>
        <row r="104">
          <cell r="A104" t="str">
            <v>Phạm Thanh Tuấn</v>
          </cell>
          <cell r="B104" t="str">
            <v>060200012353</v>
          </cell>
          <cell r="C104" t="str">
            <v>pttuan@ktxhcm.edu.vn</v>
          </cell>
        </row>
        <row r="105">
          <cell r="A105" t="str">
            <v>Nguyễn Thanh Tùy</v>
          </cell>
          <cell r="B105" t="str">
            <v>046085003019</v>
          </cell>
          <cell r="C105" t="str">
            <v>nttuy@ktxhcm.edu.vn</v>
          </cell>
        </row>
        <row r="106">
          <cell r="A106" t="str">
            <v>Phạm Ngọc Vỹ</v>
          </cell>
          <cell r="B106" t="str">
            <v>051078007200</v>
          </cell>
          <cell r="C106" t="str">
            <v>pnvy@ktxhcm.edu.vn</v>
          </cell>
        </row>
        <row r="107">
          <cell r="A107" t="str">
            <v>Trần Đông Hải</v>
          </cell>
          <cell r="B107" t="str">
            <v>001072023342</v>
          </cell>
          <cell r="C107" t="str">
            <v>tdhai@ktxhcm.edu.vn</v>
          </cell>
        </row>
        <row r="108">
          <cell r="A108" t="str">
            <v>Đặng Phi Hùng</v>
          </cell>
          <cell r="B108" t="str">
            <v>04209009618</v>
          </cell>
          <cell r="C108" t="str">
            <v>dphung@ktxhcm.edu.vn</v>
          </cell>
        </row>
        <row r="109">
          <cell r="A109" t="str">
            <v>Nguyễn Đặng Tú Oanh</v>
          </cell>
          <cell r="B109" t="str">
            <v>056301008881</v>
          </cell>
          <cell r="C109" t="str">
            <v>ndtoanh@ktxhcm.edu.vn</v>
          </cell>
        </row>
        <row r="110">
          <cell r="A110" t="str">
            <v>Phan Văn Thìn</v>
          </cell>
          <cell r="B110" t="str">
            <v>079200025724</v>
          </cell>
          <cell r="C110" t="str">
            <v>pvthin@ktxhcm.edu.vn</v>
          </cell>
        </row>
        <row r="111">
          <cell r="A111" t="str">
            <v>PHÒNG HẠ TẦNG</v>
          </cell>
        </row>
        <row r="112">
          <cell r="A112" t="str">
            <v>Hỏa Văn Minh</v>
          </cell>
          <cell r="B112" t="str">
            <v>038083024704</v>
          </cell>
          <cell r="C112" t="str">
            <v>hvminh@ktxhcm.edu.vn</v>
          </cell>
        </row>
        <row r="113">
          <cell r="A113" t="str">
            <v>Phạm Thanh Tú</v>
          </cell>
          <cell r="B113" t="str">
            <v>052082004133</v>
          </cell>
          <cell r="C113" t="str">
            <v>pttu@ktxhcm.edu.vn</v>
          </cell>
        </row>
        <row r="114">
          <cell r="A114" t="str">
            <v>Dương Văn Binh</v>
          </cell>
          <cell r="B114" t="str">
            <v>040066000338</v>
          </cell>
          <cell r="C114" t="str">
            <v>dvbinh@ktxhcm.edu.vn</v>
          </cell>
        </row>
        <row r="115">
          <cell r="A115" t="str">
            <v>Lương Đăng Hiếu</v>
          </cell>
          <cell r="B115" t="str">
            <v>056094006282</v>
          </cell>
          <cell r="C115" t="str">
            <v>ldhieu@ktxhcm.edu.vn</v>
          </cell>
        </row>
        <row r="116">
          <cell r="A116" t="str">
            <v>Cao Thị Minh Nhật</v>
          </cell>
          <cell r="B116" t="str">
            <v>051189012957</v>
          </cell>
          <cell r="C116" t="str">
            <v>ctmnhat@ktxhcm.edu.vn</v>
          </cell>
        </row>
        <row r="117">
          <cell r="A117" t="str">
            <v>Lê Phúc</v>
          </cell>
          <cell r="B117" t="str">
            <v>079096000915</v>
          </cell>
          <cell r="C117" t="str">
            <v>lphuc@ktxhcm.edu.vn</v>
          </cell>
        </row>
        <row r="118">
          <cell r="A118" t="str">
            <v>Nguyễn Thanh Thạch</v>
          </cell>
          <cell r="B118" t="str">
            <v>052092005574</v>
          </cell>
          <cell r="C118" t="str">
            <v>ntthach@ktxhcm.edu.vn</v>
          </cell>
        </row>
        <row r="119">
          <cell r="A119" t="str">
            <v xml:space="preserve">Thạch Rợn  </v>
          </cell>
          <cell r="B119" t="str">
            <v>084073006061</v>
          </cell>
          <cell r="C119" t="str">
            <v>tron@ktxhcm.edu.vn</v>
          </cell>
        </row>
        <row r="120">
          <cell r="A120" t="str">
            <v>Trần Bá Bẩy</v>
          </cell>
          <cell r="B120" t="str">
            <v>015068004225</v>
          </cell>
          <cell r="C120" t="str">
            <v>tbbay@ktxhcm.edu.vn</v>
          </cell>
        </row>
        <row r="121">
          <cell r="A121" t="str">
            <v>Vũ Thị Chinh</v>
          </cell>
          <cell r="B121" t="str">
            <v>037184012609</v>
          </cell>
          <cell r="C121" t="str">
            <v>vtchinh@ktxhcm.edu.vn</v>
          </cell>
        </row>
        <row r="122">
          <cell r="A122" t="str">
            <v>Mai Trúc Đào</v>
          </cell>
          <cell r="B122" t="str">
            <v>096302011766</v>
          </cell>
          <cell r="C122" t="str">
            <v>mtdao@ktxhcm.edu.vn</v>
          </cell>
        </row>
        <row r="123">
          <cell r="A123" t="str">
            <v>Trịnh Văn Định</v>
          </cell>
          <cell r="B123" t="str">
            <v>038074014334</v>
          </cell>
          <cell r="C123" t="str">
            <v>tvdinh@ktxhcm.edu.vn</v>
          </cell>
        </row>
        <row r="124">
          <cell r="A124" t="str">
            <v>Trần Thị Giàng</v>
          </cell>
          <cell r="B124" t="str">
            <v>084173010354</v>
          </cell>
          <cell r="C124" t="str">
            <v>ttgiang@ktxhcm.edu.vn</v>
          </cell>
        </row>
        <row r="125">
          <cell r="A125" t="str">
            <v>Nguyễn Huy Hải</v>
          </cell>
          <cell r="B125" t="str">
            <v xml:space="preserve">042084004624 </v>
          </cell>
          <cell r="C125" t="str">
            <v>nhhai@ktxhcm.edu.vn</v>
          </cell>
        </row>
        <row r="126">
          <cell r="A126" t="str">
            <v>Nguyễn Thị Tuyết Hằng</v>
          </cell>
          <cell r="B126" t="str">
            <v>080171008177</v>
          </cell>
          <cell r="C126" t="str">
            <v>ntthang@ktxhcm.edu.vn</v>
          </cell>
        </row>
        <row r="127">
          <cell r="A127" t="str">
            <v>Võ Thị Hằng</v>
          </cell>
          <cell r="B127" t="str">
            <v>079176026378</v>
          </cell>
          <cell r="C127" t="str">
            <v>vthang@ktxhcm.edu.vn</v>
          </cell>
        </row>
        <row r="128">
          <cell r="A128" t="str">
            <v>Bùi Thị Hạt</v>
          </cell>
          <cell r="B128" t="str">
            <v>034173003191</v>
          </cell>
          <cell r="C128" t="str">
            <v>bthat@ktxhcm.edu.vn</v>
          </cell>
        </row>
        <row r="129">
          <cell r="A129" t="str">
            <v>Võ Thị Hiền</v>
          </cell>
          <cell r="B129" t="str">
            <v xml:space="preserve">040189018098 </v>
          </cell>
          <cell r="C129" t="str">
            <v>vthien@ktxhcm.edu.vn</v>
          </cell>
        </row>
        <row r="130">
          <cell r="A130" t="str">
            <v>Hoàng Thị Là</v>
          </cell>
          <cell r="B130" t="str">
            <v>034186001354</v>
          </cell>
          <cell r="C130" t="str">
            <v>htla@ktxhcm.edu.vn</v>
          </cell>
        </row>
        <row r="131">
          <cell r="A131" t="str">
            <v>Nguyễn Văn Lâm</v>
          </cell>
          <cell r="B131" t="str">
            <v>093073007759</v>
          </cell>
          <cell r="C131" t="str">
            <v>nvlam@ktxhcm.edu.vn</v>
          </cell>
        </row>
        <row r="132">
          <cell r="A132" t="str">
            <v>Lê Đình Nghĩa</v>
          </cell>
          <cell r="B132" t="str">
            <v>038073011153</v>
          </cell>
          <cell r="C132" t="str">
            <v>ldnghia@ktxhcm.edu.vn</v>
          </cell>
        </row>
        <row r="133">
          <cell r="A133" t="str">
            <v>Nguyễn Thanh Ngọc</v>
          </cell>
          <cell r="B133" t="str">
            <v>042088013907</v>
          </cell>
          <cell r="C133" t="str">
            <v>ntngoc@ktxhcm.edu.vn</v>
          </cell>
        </row>
        <row r="134">
          <cell r="A134" t="str">
            <v>Phan Văn Nhất</v>
          </cell>
          <cell r="B134" t="str">
            <v>040071028917</v>
          </cell>
          <cell r="C134" t="str">
            <v>pvnhat@ktxhcm.edu.vn</v>
          </cell>
        </row>
        <row r="135">
          <cell r="A135" t="str">
            <v>Lê Thị Phan</v>
          </cell>
          <cell r="B135" t="str">
            <v xml:space="preserve">038173010757 </v>
          </cell>
          <cell r="C135" t="str">
            <v>ltphan@ktxhcm.edu.vn</v>
          </cell>
        </row>
        <row r="136">
          <cell r="A136" t="str">
            <v>Hoàng Mạnh Tài</v>
          </cell>
          <cell r="B136" t="str">
            <v>044092011913</v>
          </cell>
          <cell r="C136" t="str">
            <v>hmtai@ktxhcm.edu.vn</v>
          </cell>
        </row>
        <row r="137">
          <cell r="A137" t="str">
            <v>Dương Xuân Thành</v>
          </cell>
          <cell r="B137" t="str">
            <v>037076015646</v>
          </cell>
          <cell r="C137" t="str">
            <v>dxthanh@ktxhcm.edu.vn</v>
          </cell>
        </row>
        <row r="138">
          <cell r="A138" t="str">
            <v>Huỳnh Phan Nhật Thùy</v>
          </cell>
          <cell r="B138" t="str">
            <v>075196009285</v>
          </cell>
          <cell r="C138" t="str">
            <v>hpnthuy@ktxhcm.edu.vn</v>
          </cell>
        </row>
        <row r="139">
          <cell r="A139" t="str">
            <v>Nguyễn Thành Tiền</v>
          </cell>
          <cell r="B139" t="str">
            <v>074081008029</v>
          </cell>
          <cell r="C139" t="str">
            <v>nttien@ktxhcm.edu.vn</v>
          </cell>
        </row>
        <row r="140">
          <cell r="A140" t="str">
            <v>Đặng Thị Tuyết Trinh</v>
          </cell>
          <cell r="B140" t="str">
            <v>079174021759</v>
          </cell>
          <cell r="C140" t="str">
            <v>dtttrinh@ktxhcm.edu.vn</v>
          </cell>
        </row>
        <row r="141">
          <cell r="A141" t="str">
            <v>Lê Ngọc Phương</v>
          </cell>
          <cell r="B141" t="str">
            <v>038079031846</v>
          </cell>
          <cell r="C141" t="str">
            <v>lnphuong@ktxhcm.edu.vn</v>
          </cell>
        </row>
        <row r="142">
          <cell r="A142" t="str">
            <v>PHÒNG QUẢN TRỊ - THIẾT BỊ</v>
          </cell>
        </row>
        <row r="143">
          <cell r="A143" t="str">
            <v>Đặng Minh Tuấn</v>
          </cell>
          <cell r="B143" t="str">
            <v>027071000167</v>
          </cell>
          <cell r="C143" t="str">
            <v>dmtuan@vnuhcm.edu.vn</v>
          </cell>
        </row>
        <row r="144">
          <cell r="A144" t="str">
            <v>Đinh Công Minh</v>
          </cell>
          <cell r="B144" t="str">
            <v>001070000159</v>
          </cell>
          <cell r="C144" t="str">
            <v>dcminh@ktxhcm.edu.vn</v>
          </cell>
        </row>
        <row r="145">
          <cell r="A145" t="str">
            <v>Lê Thị Thanh Thúy</v>
          </cell>
          <cell r="B145" t="str">
            <v>045187001641</v>
          </cell>
          <cell r="C145" t="str">
            <v>lttthuy@ktxhcm.edu.vn</v>
          </cell>
        </row>
        <row r="146">
          <cell r="A146" t="str">
            <v>Nguyễn Khánh Hiệp</v>
          </cell>
          <cell r="B146" t="str">
            <v>079086027637</v>
          </cell>
          <cell r="C146" t="str">
            <v>nkhiep@ktxhcm.edu.vn</v>
          </cell>
        </row>
        <row r="147">
          <cell r="A147" t="str">
            <v>Lê Nhật Vũ</v>
          </cell>
          <cell r="B147" t="str">
            <v>049084001304</v>
          </cell>
          <cell r="C147" t="str">
            <v>lnvu@ktxhcm.edu.vn</v>
          </cell>
        </row>
        <row r="148">
          <cell r="A148" t="str">
            <v>Võ Ngọc Hải</v>
          </cell>
          <cell r="B148" t="str">
            <v>062083004110</v>
          </cell>
          <cell r="C148" t="str">
            <v>vnhai@ktxhcm.edu.vn</v>
          </cell>
        </row>
        <row r="149">
          <cell r="A149" t="str">
            <v>Nguyễn Long Hoàng</v>
          </cell>
          <cell r="B149" t="str">
            <v>079066028207</v>
          </cell>
          <cell r="C149" t="str">
            <v>nlhoang@ktxhcm.edu.vn</v>
          </cell>
        </row>
        <row r="150">
          <cell r="A150" t="str">
            <v>Phan Quốc Huynh</v>
          </cell>
          <cell r="B150" t="str">
            <v>006087002885</v>
          </cell>
          <cell r="C150" t="str">
            <v>pqhuynh@ktxhcm.edu.vn</v>
          </cell>
        </row>
        <row r="151">
          <cell r="A151" t="str">
            <v>Đoàn Quang Minh</v>
          </cell>
          <cell r="B151" t="str">
            <v>079099034585</v>
          </cell>
          <cell r="C151" t="str">
            <v>dqminh@ktxhcm.edu.vn</v>
          </cell>
        </row>
        <row r="152">
          <cell r="A152" t="str">
            <v>Ngô Hữu Nghị</v>
          </cell>
          <cell r="B152" t="str">
            <v>083099011956</v>
          </cell>
          <cell r="C152" t="str">
            <v>nhnghi@ktxhcm.edu.vn</v>
          </cell>
        </row>
        <row r="153">
          <cell r="A153" t="str">
            <v>Nguyễn Thị Như Nữ</v>
          </cell>
          <cell r="B153" t="str">
            <v>051193013179</v>
          </cell>
          <cell r="C153" t="str">
            <v>ntnnu@ktxhcm.edu.vn</v>
          </cell>
        </row>
        <row r="154">
          <cell r="A154" t="str">
            <v>Mạch Thị Oanh</v>
          </cell>
          <cell r="B154" t="str">
            <v>038195009097</v>
          </cell>
          <cell r="C154" t="str">
            <v>mtoanh@ktxhcm.edu.vn</v>
          </cell>
        </row>
        <row r="155">
          <cell r="A155" t="str">
            <v>Trương Văn Sang</v>
          </cell>
          <cell r="B155" t="str">
            <v>049093011992</v>
          </cell>
          <cell r="C155" t="str">
            <v>tvsang@ktxhcm.edu.vn</v>
          </cell>
        </row>
        <row r="156">
          <cell r="A156" t="str">
            <v>Nguyễn Đắc Toản</v>
          </cell>
          <cell r="B156" t="str">
            <v>030081013709</v>
          </cell>
          <cell r="C156" t="str">
            <v>ndtoan@ktxhcm.edu.vn</v>
          </cell>
        </row>
        <row r="157">
          <cell r="A157" t="str">
            <v>Nguyễn Công Bình</v>
          </cell>
          <cell r="B157" t="str">
            <v>056091011131</v>
          </cell>
          <cell r="C157" t="str">
            <v>ncbinh@ktxhcm.edu.vn</v>
          </cell>
        </row>
        <row r="158">
          <cell r="A158" t="str">
            <v>Nguyễn Chí Hải</v>
          </cell>
          <cell r="B158" t="str">
            <v>084096000111</v>
          </cell>
          <cell r="C158" t="str">
            <v>nchai@ktxhcm.edu.vn</v>
          </cell>
        </row>
        <row r="159">
          <cell r="A159" t="str">
            <v>Nguyễn Quốc Hải</v>
          </cell>
          <cell r="B159" t="str">
            <v>066092017620</v>
          </cell>
          <cell r="C159" t="str">
            <v>nqhai@ktxhcm.edu.vn</v>
          </cell>
        </row>
        <row r="160">
          <cell r="A160" t="str">
            <v>Trương Hoàng Ngân</v>
          </cell>
          <cell r="B160" t="str">
            <v>083199009430</v>
          </cell>
          <cell r="C160" t="str">
            <v>thngan@ktxhcm.edu.vn</v>
          </cell>
        </row>
        <row r="161">
          <cell r="A161" t="str">
            <v>Lê Minh Nhân</v>
          </cell>
          <cell r="B161" t="str">
            <v>082093009245</v>
          </cell>
          <cell r="C161" t="str">
            <v>lmnhan@ktxhcm.edu.vn</v>
          </cell>
        </row>
        <row r="162">
          <cell r="A162" t="str">
            <v>Nguyễn Ngọc Thành</v>
          </cell>
          <cell r="B162" t="str">
            <v>038087024492</v>
          </cell>
          <cell r="C162" t="str">
            <v>nnthanh@ktxhcm.edu.vn</v>
          </cell>
        </row>
        <row r="163">
          <cell r="A163" t="str">
            <v>Hàn Văn Thi</v>
          </cell>
          <cell r="B163" t="str">
            <v>038085006756</v>
          </cell>
          <cell r="C163" t="str">
            <v>hvthi@ktxhcm.edu.vn</v>
          </cell>
        </row>
        <row r="164">
          <cell r="A164" t="str">
            <v>Lưu Viết Tấn</v>
          </cell>
          <cell r="B164" t="str">
            <v>031065009509</v>
          </cell>
        </row>
        <row r="165">
          <cell r="A165" t="str">
            <v>PHÒNG CHĂM SÓC SỨC KHỎE</v>
          </cell>
        </row>
        <row r="166">
          <cell r="A166" t="str">
            <v>Nguyễn Thị Trọng</v>
          </cell>
          <cell r="B166" t="str">
            <v>068180007380</v>
          </cell>
          <cell r="C166" t="str">
            <v>nttrong@ktxhcm.edu.vn</v>
          </cell>
        </row>
        <row r="167">
          <cell r="A167" t="str">
            <v>Trần Thị Xuân</v>
          </cell>
          <cell r="B167" t="str">
            <v>040182019239</v>
          </cell>
          <cell r="C167" t="str">
            <v>ttxuan@ktxhcm.edu.vn</v>
          </cell>
        </row>
        <row r="168">
          <cell r="A168" t="str">
            <v>Đinh Huỳnh Đức</v>
          </cell>
          <cell r="B168" t="str">
            <v>040099019824</v>
          </cell>
          <cell r="C168" t="str">
            <v>dhduc@ktxhcm.edu.vn</v>
          </cell>
        </row>
        <row r="169">
          <cell r="A169" t="str">
            <v>Nguyễn Văn Khá</v>
          </cell>
          <cell r="B169" t="str">
            <v>034083022201</v>
          </cell>
          <cell r="C169" t="str">
            <v>nvkha@ktxhcm.edu.vn</v>
          </cell>
        </row>
        <row r="170">
          <cell r="A170" t="str">
            <v>Hoàng Thế Mạnh</v>
          </cell>
          <cell r="B170" t="str">
            <v>033087003449</v>
          </cell>
          <cell r="C170" t="str">
            <v>htmanh@ktxhcm.edu.vn</v>
          </cell>
        </row>
        <row r="171">
          <cell r="A171" t="str">
            <v>Hoàng Thị Sang</v>
          </cell>
          <cell r="B171" t="str">
            <v>001183056529</v>
          </cell>
          <cell r="C171" t="str">
            <v>htsang@ktxhcm.edu.vn</v>
          </cell>
        </row>
        <row r="172">
          <cell r="A172" t="str">
            <v>Tăng Thị Xuyến</v>
          </cell>
          <cell r="B172" t="str">
            <v>040179014948</v>
          </cell>
          <cell r="C172" t="str">
            <v>ttxuyen@ktxhcm.edu.vn</v>
          </cell>
        </row>
        <row r="173">
          <cell r="A173" t="str">
            <v>Nguyễn Văn An</v>
          </cell>
          <cell r="B173" t="str">
            <v>015093009761</v>
          </cell>
          <cell r="C173" t="str">
            <v>nvan@ktxhcm.edu.vn</v>
          </cell>
        </row>
        <row r="174">
          <cell r="A174" t="str">
            <v>Phan Văn Giang</v>
          </cell>
          <cell r="B174" t="str">
            <v>040079004027</v>
          </cell>
          <cell r="C174" t="str">
            <v>pvgiang@ktxhcm.edu.vn</v>
          </cell>
        </row>
        <row r="175">
          <cell r="A175" t="str">
            <v>Nguyễn Viết Nam</v>
          </cell>
          <cell r="B175" t="str">
            <v>033079015004</v>
          </cell>
          <cell r="C175" t="str">
            <v>namnv@ktxhcm.edu.vn</v>
          </cell>
        </row>
        <row r="176">
          <cell r="A176" t="str">
            <v>Nguyễn Thị Tâm</v>
          </cell>
          <cell r="B176" t="str">
            <v>042185016648</v>
          </cell>
          <cell r="C176" t="str">
            <v>nttam@ktxhcm.edu.vn</v>
          </cell>
        </row>
        <row r="177">
          <cell r="A177" t="str">
            <v>Nguyễn Đình Tiến</v>
          </cell>
          <cell r="B177" t="str">
            <v>038089053638</v>
          </cell>
          <cell r="C177" t="str">
            <v>ndtien@ktxhcm.edu.vn</v>
          </cell>
        </row>
        <row r="178">
          <cell r="A178" t="str">
            <v>Lê Thị Thùy Trang</v>
          </cell>
          <cell r="B178" t="str">
            <v>046197007730</v>
          </cell>
          <cell r="C178" t="str">
            <v>ltthuytrang@ktxhcm.edu.vn</v>
          </cell>
        </row>
        <row r="179">
          <cell r="A179" t="str">
            <v>BAN QUẢN LÝ CỤM NHÀ A.G</v>
          </cell>
        </row>
        <row r="180">
          <cell r="A180" t="str">
            <v>Lê Thị Thanh An</v>
          </cell>
          <cell r="B180" t="str">
            <v>038183049921</v>
          </cell>
          <cell r="C180" t="str">
            <v>lttan@ktxhcm.edu.vn</v>
          </cell>
        </row>
        <row r="181">
          <cell r="A181" t="str">
            <v>Nguyễn Quang Luật</v>
          </cell>
          <cell r="B181" t="str">
            <v>083090012439</v>
          </cell>
          <cell r="C181" t="str">
            <v>nqluat@ktxhcm.edu.vn</v>
          </cell>
        </row>
        <row r="182">
          <cell r="A182" t="str">
            <v>Đỗ Thị Huyền Thu</v>
          </cell>
          <cell r="B182" t="str">
            <v>074190001352</v>
          </cell>
          <cell r="C182" t="str">
            <v>dththu@ktxhcm.edu.vn</v>
          </cell>
        </row>
        <row r="183">
          <cell r="A183" t="str">
            <v>Trương Thị Hoài</v>
          </cell>
          <cell r="B183" t="str">
            <v>038195006599</v>
          </cell>
          <cell r="C183" t="str">
            <v>tthoai@ktxhcm.edu.vn</v>
          </cell>
        </row>
        <row r="184">
          <cell r="A184" t="str">
            <v>Đỗ Sơn Khánh</v>
          </cell>
          <cell r="B184" t="str">
            <v>060079015365</v>
          </cell>
          <cell r="C184" t="str">
            <v>dskhanh@ktxhcm.edu.vn</v>
          </cell>
        </row>
        <row r="185">
          <cell r="A185" t="str">
            <v>Trần Hữu Lâm</v>
          </cell>
          <cell r="B185" t="str">
            <v>074080005785</v>
          </cell>
          <cell r="C185" t="str">
            <v>thlam@ktxhcm.edu.vn</v>
          </cell>
        </row>
        <row r="186">
          <cell r="A186" t="str">
            <v>Hoàng Văn Tình</v>
          </cell>
          <cell r="B186" t="str">
            <v>066087003159</v>
          </cell>
          <cell r="C186" t="str">
            <v>hvtinh@ktxhcm.edu.vn</v>
          </cell>
        </row>
        <row r="187">
          <cell r="A187" t="str">
            <v>Trần Thị Thanh Xuân</v>
          </cell>
          <cell r="B187" t="str">
            <v>046199001297</v>
          </cell>
          <cell r="C187" t="str">
            <v>tttxuan@ktxhcm.edu.vn</v>
          </cell>
        </row>
        <row r="188">
          <cell r="A188" t="str">
            <v>Đỗ Văn Hăng</v>
          </cell>
          <cell r="B188" t="str">
            <v>038066026871</v>
          </cell>
          <cell r="C188" t="str">
            <v>dvhang@ktxhcm.edu.vn</v>
          </cell>
        </row>
        <row r="189">
          <cell r="A189" t="str">
            <v>Nguyễn Trần Hồng Hoa</v>
          </cell>
          <cell r="B189" t="str">
            <v>079196011551</v>
          </cell>
          <cell r="C189" t="str">
            <v>nthhoa@ktxhcm.edu.vn</v>
          </cell>
        </row>
        <row r="190">
          <cell r="A190" t="str">
            <v>Nguyễn Thị Kiều My</v>
          </cell>
          <cell r="B190" t="str">
            <v>049195012354</v>
          </cell>
          <cell r="C190" t="str">
            <v>ntkmy@ktxhcm.edu.vn</v>
          </cell>
        </row>
        <row r="191">
          <cell r="A191" t="str">
            <v>Bùi Văn Phúc</v>
          </cell>
          <cell r="B191" t="str">
            <v>017097002860</v>
          </cell>
          <cell r="C191" t="str">
            <v>bvphuc@ktxhcm.edu.vn</v>
          </cell>
        </row>
        <row r="192">
          <cell r="A192" t="str">
            <v>Nguyễn Thị Tho</v>
          </cell>
          <cell r="B192" t="str">
            <v>091182020891</v>
          </cell>
          <cell r="C192" t="str">
            <v>nttho@ktxhcm.edu.vn</v>
          </cell>
        </row>
        <row r="193">
          <cell r="A193" t="str">
            <v>Nguyễn Thị Kim Thương</v>
          </cell>
          <cell r="B193" t="str">
            <v>062190000437</v>
          </cell>
          <cell r="C193" t="str">
            <v>ntkthuong@ktxhcm.edu.vn</v>
          </cell>
        </row>
        <row r="194">
          <cell r="A194" t="str">
            <v>Nghiêm Văn Chiến</v>
          </cell>
          <cell r="B194" t="str">
            <v>038067007731</v>
          </cell>
          <cell r="C194" t="str">
            <v>nvchien@ktxhcm.edu.vn</v>
          </cell>
        </row>
        <row r="195">
          <cell r="A195" t="str">
            <v>Vũ Văn Tài</v>
          </cell>
          <cell r="B195" t="str">
            <v>030082022846</v>
          </cell>
          <cell r="C195" t="str">
            <v>vvtai@ktxhcm.edu.vn</v>
          </cell>
        </row>
        <row r="196">
          <cell r="A196" t="str">
            <v>Lã Thị Thân</v>
          </cell>
          <cell r="B196" t="str">
            <v>035172007099</v>
          </cell>
        </row>
        <row r="197">
          <cell r="A197" t="str">
            <v>Nguyễn Hữu Thủy</v>
          </cell>
          <cell r="B197" t="str">
            <v>038071023484</v>
          </cell>
          <cell r="C197" t="str">
            <v>nhthuy@ktxhcm.edu.vn</v>
          </cell>
        </row>
        <row r="198">
          <cell r="A198" t="str">
            <v>BAN QUẢN LÝ CỤM NHÀ A.H</v>
          </cell>
        </row>
        <row r="199">
          <cell r="A199" t="str">
            <v>Hoàng Văn Cường</v>
          </cell>
          <cell r="B199" t="str">
            <v>038085044588</v>
          </cell>
          <cell r="C199" t="str">
            <v>hvcuong@ktxhcm.edu.vn</v>
          </cell>
        </row>
        <row r="200">
          <cell r="A200" t="str">
            <v>Hoàng Thị Nguyệt</v>
          </cell>
          <cell r="B200" t="str">
            <v>038181035670</v>
          </cell>
          <cell r="C200" t="str">
            <v>htnguyet@ktxhcm.edu.vn</v>
          </cell>
        </row>
        <row r="201">
          <cell r="A201" t="str">
            <v>Thái Dương</v>
          </cell>
          <cell r="B201" t="str">
            <v>042087005379</v>
          </cell>
          <cell r="C201" t="str">
            <v>tduong@ktxhcm.edu.vn</v>
          </cell>
        </row>
        <row r="202">
          <cell r="A202" t="str">
            <v>Hoàng Văn Tuấn</v>
          </cell>
          <cell r="B202" t="str">
            <v>038093006966</v>
          </cell>
          <cell r="C202" t="str">
            <v>hvtuan@ktxhcm.edu.vn</v>
          </cell>
        </row>
        <row r="203">
          <cell r="A203" t="str">
            <v>Cao Thị Tươi</v>
          </cell>
          <cell r="B203" t="str">
            <v>036190024114</v>
          </cell>
          <cell r="C203" t="str">
            <v>cttuoi@ktxhcm.edu.vn</v>
          </cell>
        </row>
        <row r="204">
          <cell r="A204" t="str">
            <v>Lê Nho Anh</v>
          </cell>
          <cell r="B204" t="str">
            <v>074089001604</v>
          </cell>
          <cell r="C204" t="str">
            <v>lnanh@ktxhcm.edu.vn</v>
          </cell>
        </row>
        <row r="205">
          <cell r="A205" t="str">
            <v>Trịnh Quốc Bộ</v>
          </cell>
          <cell r="B205" t="str">
            <v>038069025377</v>
          </cell>
          <cell r="C205" t="str">
            <v>tqbo@ktxhcm.edu.vn</v>
          </cell>
        </row>
        <row r="206">
          <cell r="A206" t="str">
            <v>Nguyễn Chí Nhân</v>
          </cell>
          <cell r="B206" t="str">
            <v>051073018091</v>
          </cell>
          <cell r="C206" t="str">
            <v>ncnhan@ktxhcm.edu.vn</v>
          </cell>
        </row>
        <row r="207">
          <cell r="A207" t="str">
            <v>Đinh Thị Thúy Vân</v>
          </cell>
          <cell r="B207" t="str">
            <v>038192050691</v>
          </cell>
          <cell r="C207" t="str">
            <v>dttvan@ktxhcm.edu.vn</v>
          </cell>
        </row>
        <row r="208">
          <cell r="A208" t="str">
            <v>Nguyễn Phú Vinh</v>
          </cell>
          <cell r="B208" t="str">
            <v>058066003991</v>
          </cell>
          <cell r="C208" t="str">
            <v>npvinh@ktxhcm.edu.vn</v>
          </cell>
        </row>
        <row r="209">
          <cell r="A209" t="str">
            <v>BAN QUẢN LÝ CỤM NHÀ B.A</v>
          </cell>
        </row>
        <row r="210">
          <cell r="A210" t="str">
            <v>Nguyễn Công Trinh</v>
          </cell>
          <cell r="B210" t="str">
            <v>046087019407</v>
          </cell>
          <cell r="C210" t="str">
            <v>nctrinh@ktxhcm.edu.vn</v>
          </cell>
        </row>
        <row r="211">
          <cell r="A211" t="str">
            <v>Đinh Thị Lan Anh</v>
          </cell>
          <cell r="B211" t="str">
            <v>048183007442</v>
          </cell>
          <cell r="C211" t="str">
            <v>dtlanh@ktxhcm.edu.vn</v>
          </cell>
        </row>
        <row r="212">
          <cell r="A212" t="str">
            <v>Nguyễn Văn Dũng</v>
          </cell>
          <cell r="B212" t="str">
            <v>025083013328</v>
          </cell>
          <cell r="C212" t="str">
            <v>nvdung@ktxhcm.edu.vn</v>
          </cell>
        </row>
        <row r="213">
          <cell r="A213" t="str">
            <v>Phạm Anh Duy</v>
          </cell>
          <cell r="B213" t="str">
            <v>082091000195</v>
          </cell>
          <cell r="C213" t="str">
            <v>paduy@ktxhcm.edu.vn</v>
          </cell>
        </row>
        <row r="214">
          <cell r="A214" t="str">
            <v>Nguyễn Thị Hương</v>
          </cell>
          <cell r="B214" t="str">
            <v>038189036324</v>
          </cell>
          <cell r="C214" t="str">
            <v>nthuong@ktxhcm.edu.vn</v>
          </cell>
        </row>
        <row r="215">
          <cell r="A215" t="str">
            <v>Nguyễn Thị Huyền</v>
          </cell>
          <cell r="B215" t="str">
            <v>006187001129</v>
          </cell>
          <cell r="C215" t="str">
            <v>nthuyen@ktxhcm.edu.vn</v>
          </cell>
        </row>
        <row r="216">
          <cell r="A216" t="str">
            <v>Nguyễn Tấn Phước</v>
          </cell>
          <cell r="B216" t="str">
            <v>074086006518</v>
          </cell>
          <cell r="C216" t="str">
            <v>ntphuoc@ktxhcm.edu.vn</v>
          </cell>
        </row>
        <row r="217">
          <cell r="A217" t="str">
            <v>Lê Thị Thủy</v>
          </cell>
          <cell r="B217" t="str">
            <v>038187030707</v>
          </cell>
          <cell r="C217" t="str">
            <v>ltthuy@ktxhcm.edu.vn</v>
          </cell>
        </row>
        <row r="218">
          <cell r="A218" t="str">
            <v>Trần Đình Tiến</v>
          </cell>
          <cell r="B218" t="str">
            <v>038090004746</v>
          </cell>
          <cell r="C218" t="str">
            <v>tdtien@ktxhcm.edu.vn</v>
          </cell>
        </row>
        <row r="219">
          <cell r="A219" t="str">
            <v>Phan Xuân Truyện</v>
          </cell>
          <cell r="B219" t="str">
            <v>045083001473</v>
          </cell>
          <cell r="C219" t="str">
            <v>pxtruyen@ktxhcm.edu.vn</v>
          </cell>
        </row>
        <row r="220">
          <cell r="A220" t="str">
            <v>Trần Văn Đạo</v>
          </cell>
          <cell r="B220" t="str">
            <v>040092023599</v>
          </cell>
          <cell r="C220" t="str">
            <v>tvdao@ktxhcm.edu.vn</v>
          </cell>
        </row>
        <row r="221">
          <cell r="A221" t="str">
            <v>BAN QUẢN LÝ CỤM NHÀ B.B</v>
          </cell>
        </row>
        <row r="222">
          <cell r="A222" t="str">
            <v>Lê Văn Phúc</v>
          </cell>
          <cell r="B222" t="str">
            <v>052081016886</v>
          </cell>
          <cell r="C222" t="str">
            <v>lvphuc@ktxhcm.edu.vn</v>
          </cell>
        </row>
        <row r="223">
          <cell r="A223" t="str">
            <v>Trần Văn Nhực</v>
          </cell>
          <cell r="B223" t="str">
            <v>049093015831</v>
          </cell>
          <cell r="C223" t="str">
            <v>tvnhuc@ktxhcm.edu.vn</v>
          </cell>
        </row>
        <row r="224">
          <cell r="A224" t="str">
            <v>Trần Phạm Kim Dung</v>
          </cell>
          <cell r="B224" t="str">
            <v>038187034586</v>
          </cell>
          <cell r="C224" t="str">
            <v>tpkdung@ktxhcm.edu.vn</v>
          </cell>
        </row>
        <row r="225">
          <cell r="A225" t="str">
            <v>Hứa Tấn Liệt</v>
          </cell>
          <cell r="B225" t="str">
            <v>091079005838</v>
          </cell>
          <cell r="C225" t="str">
            <v>htliet@ktxhcm.edu.vn</v>
          </cell>
        </row>
        <row r="226">
          <cell r="A226" t="str">
            <v>Nguyễn Văn Minh</v>
          </cell>
          <cell r="B226" t="str">
            <v>025085011974</v>
          </cell>
          <cell r="C226" t="str">
            <v>nvminh@ktxhcm.edu.vn</v>
          </cell>
        </row>
        <row r="227">
          <cell r="A227" t="str">
            <v>Nguyễn Thị Vân</v>
          </cell>
          <cell r="B227" t="str">
            <v>038191021461</v>
          </cell>
          <cell r="C227" t="str">
            <v>ntvan@ktxhcm.edu.vn</v>
          </cell>
        </row>
        <row r="228">
          <cell r="A228" t="str">
            <v>Nguyễn Thị Châu</v>
          </cell>
          <cell r="B228" t="str">
            <v>040300019540</v>
          </cell>
          <cell r="C228" t="str">
            <v>ntchau@ktxhcm.edu.vn</v>
          </cell>
        </row>
        <row r="229">
          <cell r="A229" t="str">
            <v>Bùi Phương Nam</v>
          </cell>
          <cell r="B229" t="str">
            <v>074097006359</v>
          </cell>
          <cell r="C229" t="str">
            <v>bpnam@ktxhcm.edu.vn</v>
          </cell>
        </row>
        <row r="230">
          <cell r="A230" t="str">
            <v>Phạm Xuân Trường</v>
          </cell>
          <cell r="B230" t="str">
            <v>035071001506</v>
          </cell>
          <cell r="C230" t="str">
            <v>pxtruong@ktxhcm.edu.vn</v>
          </cell>
        </row>
        <row r="231">
          <cell r="A231" t="str">
            <v>Lê Văn Tuyến</v>
          </cell>
          <cell r="B231" t="str">
            <v>038092007043</v>
          </cell>
          <cell r="C231" t="str">
            <v>lvtuyen@ktxhcm.edu.vn</v>
          </cell>
        </row>
        <row r="232">
          <cell r="A232" t="str">
            <v>Phạm Ngọc Nam</v>
          </cell>
          <cell r="B232" t="str">
            <v>074073007502</v>
          </cell>
        </row>
        <row r="233">
          <cell r="A233" t="str">
            <v>BAN QUẢN LÝ CỤM NHÀ B.C</v>
          </cell>
        </row>
        <row r="234">
          <cell r="A234" t="str">
            <v>Nguyễn Thị Thu Trang</v>
          </cell>
          <cell r="B234" t="str">
            <v>086175000384</v>
          </cell>
          <cell r="C234" t="str">
            <v>ntttrang@ktxhcm.edu.vn</v>
          </cell>
        </row>
        <row r="235">
          <cell r="A235" t="str">
            <v>Trần Văn Chuyền</v>
          </cell>
          <cell r="B235" t="str">
            <v>046082030636</v>
          </cell>
          <cell r="C235" t="str">
            <v>tvchuyen@ktxhcm.edu.vn</v>
          </cell>
        </row>
        <row r="236">
          <cell r="A236" t="str">
            <v>Trần Hà Ân</v>
          </cell>
          <cell r="B236" t="str">
            <v>079087032453</v>
          </cell>
          <cell r="C236" t="str">
            <v>than@ktxhcm.edu.vn</v>
          </cell>
        </row>
        <row r="237">
          <cell r="A237" t="str">
            <v>Lê Thị Ngọc Dung</v>
          </cell>
          <cell r="B237" t="str">
            <v>086179003165</v>
          </cell>
          <cell r="C237" t="str">
            <v>ltndung@ktxhcm.edu.vn</v>
          </cell>
        </row>
        <row r="238">
          <cell r="A238" t="str">
            <v>Lê Văn Nam</v>
          </cell>
          <cell r="B238" t="str">
            <v>038088008045</v>
          </cell>
          <cell r="C238" t="str">
            <v>lvnam@ktxhcm.edu.vn</v>
          </cell>
        </row>
        <row r="239">
          <cell r="A239" t="str">
            <v>Nguyễn Văn Sang</v>
          </cell>
          <cell r="B239" t="str">
            <v>087083000158</v>
          </cell>
          <cell r="C239" t="str">
            <v>nvsang@ktxhcm.edu.vn</v>
          </cell>
        </row>
        <row r="240">
          <cell r="A240" t="str">
            <v>Trương Quang Thanh</v>
          </cell>
          <cell r="B240" t="str">
            <v>038070008555</v>
          </cell>
          <cell r="C240" t="str">
            <v>tqthanh@ktxhcm.edu.vn</v>
          </cell>
        </row>
        <row r="241">
          <cell r="A241" t="str">
            <v>Trần Thị Thơ Thơ</v>
          </cell>
          <cell r="B241" t="str">
            <v>037190015583</v>
          </cell>
          <cell r="C241" t="str">
            <v>ttttho@ktxhcm.edu.vn</v>
          </cell>
        </row>
        <row r="242">
          <cell r="A242" t="str">
            <v>Nguyễn Đức Chuyên</v>
          </cell>
          <cell r="B242" t="str">
            <v>015073012028</v>
          </cell>
          <cell r="C242" t="str">
            <v>ndchuyen@ktxhcm.edu.vn</v>
          </cell>
        </row>
        <row r="243">
          <cell r="A243" t="str">
            <v>Hoàng Liên Sơn</v>
          </cell>
          <cell r="B243" t="str">
            <v>042085020811</v>
          </cell>
          <cell r="C243" t="str">
            <v>hlson@ktxhcm.edu.vn</v>
          </cell>
        </row>
        <row r="244">
          <cell r="A244" t="str">
            <v>Nguyễn Văn Giào</v>
          </cell>
          <cell r="B244" t="str">
            <v>086084001592</v>
          </cell>
          <cell r="C244" t="str">
            <v>nvgiao@ktxhcm.edu.vn</v>
          </cell>
        </row>
        <row r="245">
          <cell r="A245" t="str">
            <v>BAN QUẢN LÝ CỤM NHÀ B.D</v>
          </cell>
        </row>
        <row r="246">
          <cell r="A246" t="str">
            <v>Nguyễn Văn Trung</v>
          </cell>
          <cell r="B246" t="str">
            <v>040065002904</v>
          </cell>
          <cell r="C246" t="str">
            <v>nvtrung@ktxhcm.edu.vn</v>
          </cell>
        </row>
        <row r="247">
          <cell r="A247" t="str">
            <v>Nguyễn Văn Nam</v>
          </cell>
          <cell r="B247" t="str">
            <v>034078012280</v>
          </cell>
          <cell r="C247" t="str">
            <v>nvnam@ktxhcm.edu.vn</v>
          </cell>
        </row>
        <row r="248">
          <cell r="A248" t="str">
            <v>Lê Thị Mỹ Hạnh</v>
          </cell>
          <cell r="B248" t="str">
            <v>042178000450</v>
          </cell>
          <cell r="C248" t="str">
            <v>ltmhanh@ktxhcm.edu.vn</v>
          </cell>
        </row>
        <row r="249">
          <cell r="A249" t="str">
            <v>Hồ Xuân Kỷ</v>
          </cell>
          <cell r="B249" t="str">
            <v>040089015077</v>
          </cell>
          <cell r="C249" t="str">
            <v>hxky@ktxhcm.edu.vn</v>
          </cell>
        </row>
        <row r="250">
          <cell r="A250" t="str">
            <v>Phạm Văn Phong</v>
          </cell>
          <cell r="B250" t="str">
            <v>034086007258</v>
          </cell>
          <cell r="C250" t="str">
            <v>pvphong@ktxhcm.edu.vn</v>
          </cell>
        </row>
        <row r="251">
          <cell r="A251" t="str">
            <v>Nguyễn Đình Đức</v>
          </cell>
          <cell r="B251" t="str">
            <v>079095024301</v>
          </cell>
          <cell r="C251" t="str">
            <v>ndduc@ktxhcm.edu.vn</v>
          </cell>
        </row>
        <row r="252">
          <cell r="A252" t="str">
            <v>Hồ Cao Thông</v>
          </cell>
          <cell r="B252" t="str">
            <v>051089000303</v>
          </cell>
          <cell r="C252" t="str">
            <v>hcthong@ktxhcm.edu.vn</v>
          </cell>
        </row>
        <row r="253">
          <cell r="A253" t="str">
            <v>Đỗ Thị Trang</v>
          </cell>
          <cell r="B253" t="str">
            <v>038192032078</v>
          </cell>
          <cell r="C253" t="str">
            <v>dttrang@ktxhcm.edu.vn</v>
          </cell>
        </row>
        <row r="254">
          <cell r="A254" t="str">
            <v>Đào Quốc Tuyến</v>
          </cell>
          <cell r="B254" t="str">
            <v>075076002333</v>
          </cell>
          <cell r="C254" t="str">
            <v>dqtuyen@ktxhcm.edu.vn</v>
          </cell>
        </row>
        <row r="255">
          <cell r="A255" t="str">
            <v>Vũ Văn Vĩnh</v>
          </cell>
          <cell r="B255" t="str">
            <v>036071005210</v>
          </cell>
          <cell r="C255" t="str">
            <v>vvvinh@ktxhcm.edu.vn</v>
          </cell>
        </row>
        <row r="256">
          <cell r="A256" t="str">
            <v>BAN QUẢN LÝ CỤM NHÀ B.E</v>
          </cell>
        </row>
        <row r="257">
          <cell r="A257" t="str">
            <v>Lê Minh Thảo</v>
          </cell>
          <cell r="B257" t="str">
            <v>079077032298</v>
          </cell>
          <cell r="C257" t="str">
            <v>lmthao@ktxhcm.edu.vn</v>
          </cell>
        </row>
        <row r="258">
          <cell r="A258" t="str">
            <v>Trần Thị Yến</v>
          </cell>
          <cell r="B258" t="str">
            <v>025183019868</v>
          </cell>
          <cell r="C258" t="str">
            <v>ttyen@ktxhcm.edu.vn</v>
          </cell>
        </row>
        <row r="259">
          <cell r="A259" t="str">
            <v>Nguyễn Tấn Điệp</v>
          </cell>
          <cell r="B259" t="str">
            <v>052081017316</v>
          </cell>
          <cell r="C259" t="str">
            <v>ntdiep@ktxhcm.edu.vn</v>
          </cell>
        </row>
        <row r="260">
          <cell r="A260" t="str">
            <v>Trịnh Văn Giang</v>
          </cell>
          <cell r="B260" t="str">
            <v>038081005289</v>
          </cell>
          <cell r="C260" t="str">
            <v>tvgiang@ktxhcm.edu.vn</v>
          </cell>
        </row>
        <row r="261">
          <cell r="A261" t="str">
            <v>Cao Thị Hoa</v>
          </cell>
          <cell r="B261" t="str">
            <v>034194019429</v>
          </cell>
          <cell r="C261" t="str">
            <v>cthoa@ktxhcm.edu.vn</v>
          </cell>
        </row>
        <row r="262">
          <cell r="A262" t="str">
            <v>Nông Thị Linh</v>
          </cell>
          <cell r="B262" t="str">
            <v>075198010931</v>
          </cell>
          <cell r="C262" t="str">
            <v>ntlinh@ktxhcm.edu.vn</v>
          </cell>
        </row>
        <row r="263">
          <cell r="A263" t="str">
            <v>Trần Thị Quỳnh Nga</v>
          </cell>
          <cell r="B263" t="str">
            <v>046197012735</v>
          </cell>
          <cell r="C263" t="str">
            <v>ttqnga@ktxhcm.edu.vn</v>
          </cell>
        </row>
        <row r="264">
          <cell r="A264" t="str">
            <v>Trần Tiến</v>
          </cell>
          <cell r="B264" t="str">
            <v>079087028591</v>
          </cell>
          <cell r="C264" t="str">
            <v>ttien@ktxhcm.edu.vn</v>
          </cell>
        </row>
        <row r="265">
          <cell r="A265" t="str">
            <v>Lê Thị Thùy Trang</v>
          </cell>
          <cell r="B265" t="str">
            <v>044186000475</v>
          </cell>
          <cell r="C265" t="str">
            <v>ltttrang@ktxhcm.edu.vn</v>
          </cell>
        </row>
        <row r="266">
          <cell r="A266" t="str">
            <v>Đoàn Văn Hoan</v>
          </cell>
          <cell r="B266" t="str">
            <v>030082003746</v>
          </cell>
          <cell r="C266" t="str">
            <v>dvhoan@ktxhcm.edu.vn</v>
          </cell>
        </row>
        <row r="267">
          <cell r="A267" t="str">
            <v>Võ Thị Như Muội</v>
          </cell>
          <cell r="B267" t="str">
            <v>083300006806</v>
          </cell>
        </row>
        <row r="268">
          <cell r="A268" t="str">
            <v>Đặng Duy Thiện</v>
          </cell>
          <cell r="B268" t="str">
            <v>030066005058</v>
          </cell>
          <cell r="C268" t="str">
            <v>ddthien@ktxhcm.edu.vn</v>
          </cell>
        </row>
        <row r="269">
          <cell r="A269" t="str">
            <v>Bùi Văn Dũng</v>
          </cell>
          <cell r="B269" t="str">
            <v>079070028766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XXXXXXXX"/>
      <sheetName val="Kangatang"/>
      <sheetName val="Kangatang_2"/>
      <sheetName val="Kangatang_3"/>
      <sheetName val="Kangatang_4"/>
      <sheetName val="Kangatang_5"/>
      <sheetName val="Kangatang_6"/>
      <sheetName val="Kangatang_7"/>
      <sheetName val="DS ĐB chính thức 2025"/>
      <sheetName val="Sheet3"/>
      <sheetName val="DS ĐB Dự Khuyết 2025"/>
      <sheetName val="Sheet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>
        <row r="1">
          <cell r="B1" t="str">
            <v>Họ và tên</v>
          </cell>
          <cell r="C1" t="str">
            <v>CCCD/Hộ chiếu</v>
          </cell>
          <cell r="D1" t="str">
            <v>Mã SV</v>
          </cell>
          <cell r="E1" t="str">
            <v>Mã KTX</v>
          </cell>
          <cell r="F1" t="str">
            <v>Thẻ từ</v>
          </cell>
          <cell r="G1" t="str">
            <v>Trạng thái vào ra</v>
          </cell>
          <cell r="H1" t="str">
            <v>Ngày tạo</v>
          </cell>
          <cell r="I1" t="str">
            <v>Ảnh khuôn mặt</v>
          </cell>
        </row>
        <row r="2">
          <cell r="B2" t="str">
            <v>Bùi Công Tiếp</v>
          </cell>
          <cell r="C2" t="str">
            <v>KTX030075013726</v>
          </cell>
          <cell r="D2" t="str">
            <v>030075013726</v>
          </cell>
          <cell r="E2" t="str">
            <v>C04, BA5, B04, E01, C01, D05, C05, C02, C06, C03, BA2, BA4, BA3, BA1, B03, D03, D02, D06, D04, B01, B02, B05, E03, E02, E04</v>
          </cell>
          <cell r="F2" t="str">
            <v>030075013726</v>
          </cell>
          <cell r="G2" t="b">
            <v>1</v>
          </cell>
          <cell r="H2" t="str">
            <v>04/03/2024 11:08:45</v>
          </cell>
          <cell r="I2" t="str">
            <v/>
          </cell>
          <cell r="J2" t="str">
            <v>image1.jpeg</v>
          </cell>
        </row>
        <row r="3">
          <cell r="B3" t="str">
            <v>Bùi Đức Hòa</v>
          </cell>
          <cell r="C3" t="str">
            <v>KTX019077000235</v>
          </cell>
          <cell r="D3" t="str">
            <v>019077000235</v>
          </cell>
          <cell r="E3" t="str">
            <v>E03, E02, B01, B02, B03, B04, B05, BA1, BA2, BA3, BA4, BA5, C01, C02, C03, C04, C05, C06, D02, D03, D04, D05, D06, E01, E04</v>
          </cell>
          <cell r="F3" t="str">
            <v>019077000235</v>
          </cell>
          <cell r="G3" t="b">
            <v>1</v>
          </cell>
          <cell r="H3" t="str">
            <v>15/04/2025 09:54:56</v>
          </cell>
          <cell r="I3" t="str">
            <v/>
          </cell>
          <cell r="J3" t="str">
            <v>image2.jpeg</v>
          </cell>
        </row>
        <row r="4">
          <cell r="B4" t="str">
            <v>Bùi Phạm Ngọc Hà</v>
          </cell>
          <cell r="C4" t="str">
            <v>KTX074199000787</v>
          </cell>
          <cell r="D4" t="str">
            <v>074199000787</v>
          </cell>
          <cell r="E4" t="str">
            <v>E03, E02</v>
          </cell>
          <cell r="F4" t="str">
            <v>074199000787</v>
          </cell>
          <cell r="G4" t="b">
            <v>1</v>
          </cell>
          <cell r="H4" t="str">
            <v>22/02/2024 16:04:14</v>
          </cell>
          <cell r="I4" t="str">
            <v/>
          </cell>
          <cell r="J4" t="str">
            <v>image3.jpeg</v>
          </cell>
        </row>
        <row r="5">
          <cell r="B5" t="str">
            <v>Bùi Phương Nam</v>
          </cell>
          <cell r="C5" t="str">
            <v>KTX074097006359</v>
          </cell>
          <cell r="D5" t="str">
            <v>074097006359</v>
          </cell>
          <cell r="E5" t="str">
            <v>B04, B03, B01, B02, B05, E02, E03</v>
          </cell>
          <cell r="F5" t="str">
            <v>074097006359</v>
          </cell>
          <cell r="G5" t="b">
            <v>1</v>
          </cell>
          <cell r="H5" t="str">
            <v>01/03/2024 14:52:03</v>
          </cell>
          <cell r="I5" t="str">
            <v/>
          </cell>
          <cell r="J5" t="str">
            <v>image4.jpeg</v>
          </cell>
        </row>
        <row r="6">
          <cell r="B6" t="str">
            <v>Bùi Thị Hạt</v>
          </cell>
          <cell r="C6" t="str">
            <v>KTX034173003191</v>
          </cell>
          <cell r="D6" t="str">
            <v>034173003191</v>
          </cell>
          <cell r="E6" t="str">
            <v>E03, E02</v>
          </cell>
          <cell r="F6" t="str">
            <v>034173003191</v>
          </cell>
          <cell r="G6" t="b">
            <v>1</v>
          </cell>
          <cell r="H6" t="str">
            <v>15/04/2025 09:45:46</v>
          </cell>
          <cell r="I6" t="str">
            <v/>
          </cell>
          <cell r="J6" t="str">
            <v>image5.jpeg</v>
          </cell>
        </row>
        <row r="7">
          <cell r="B7" t="str">
            <v>Bùi Văn Phúc</v>
          </cell>
          <cell r="C7" t="str">
            <v>KTX017097002860</v>
          </cell>
          <cell r="D7" t="str">
            <v>017097002860</v>
          </cell>
          <cell r="E7" t="str">
            <v>E03, E02</v>
          </cell>
          <cell r="F7" t="str">
            <v>017097002860</v>
          </cell>
          <cell r="G7" t="b">
            <v>1</v>
          </cell>
          <cell r="H7" t="str">
            <v>13/09/2024 09:35:49</v>
          </cell>
          <cell r="I7" t="str">
            <v/>
          </cell>
          <cell r="J7" t="str">
            <v>image6.jpeg</v>
          </cell>
        </row>
        <row r="8">
          <cell r="B8" t="str">
            <v>Cao Long Thọ</v>
          </cell>
          <cell r="C8" t="str">
            <v>KTX044071001302</v>
          </cell>
          <cell r="D8" t="str">
            <v>044071001302</v>
          </cell>
          <cell r="E8" t="str">
            <v>E03, E02</v>
          </cell>
          <cell r="F8" t="str">
            <v>044071001302</v>
          </cell>
          <cell r="G8" t="b">
            <v>1</v>
          </cell>
          <cell r="H8" t="str">
            <v>22/02/2024 16:01:08</v>
          </cell>
          <cell r="I8" t="str">
            <v/>
          </cell>
          <cell r="J8" t="str">
            <v>image7.jpeg</v>
          </cell>
        </row>
        <row r="9">
          <cell r="B9" t="str">
            <v>Cao Thị Hoa</v>
          </cell>
          <cell r="C9" t="str">
            <v>KTX034194019429</v>
          </cell>
          <cell r="D9" t="str">
            <v>034194019429</v>
          </cell>
          <cell r="E9" t="str">
            <v>E01, E02, E04, E03</v>
          </cell>
          <cell r="F9" t="str">
            <v>034194019429</v>
          </cell>
          <cell r="G9" t="b">
            <v>1</v>
          </cell>
          <cell r="H9" t="str">
            <v>06/03/2024 09:34:35</v>
          </cell>
          <cell r="I9" t="str">
            <v/>
          </cell>
          <cell r="J9" t="str">
            <v>image8.jpeg</v>
          </cell>
        </row>
        <row r="10">
          <cell r="B10" t="str">
            <v>Cao Thị Minh Nhật</v>
          </cell>
          <cell r="C10" t="str">
            <v>KTX051189012975</v>
          </cell>
          <cell r="D10" t="str">
            <v>051189012975</v>
          </cell>
          <cell r="E10" t="str">
            <v>E03, E02</v>
          </cell>
          <cell r="F10" t="str">
            <v>051189012975</v>
          </cell>
          <cell r="G10" t="b">
            <v>1</v>
          </cell>
          <cell r="H10" t="str">
            <v>16/04/2025 10:35:31</v>
          </cell>
          <cell r="I10" t="str">
            <v/>
          </cell>
          <cell r="J10" t="str">
            <v>image9.jpeg</v>
          </cell>
        </row>
        <row r="11">
          <cell r="B11" t="str">
            <v>Cao Thị Tươi</v>
          </cell>
          <cell r="C11" t="str">
            <v>KTX036190024114</v>
          </cell>
          <cell r="D11" t="str">
            <v>036190024114</v>
          </cell>
          <cell r="E11" t="str">
            <v>E02, E03</v>
          </cell>
          <cell r="F11" t="str">
            <v>036190024114</v>
          </cell>
          <cell r="G11" t="b">
            <v>1</v>
          </cell>
          <cell r="H11" t="str">
            <v>06/03/2024 09:44:30</v>
          </cell>
          <cell r="I11" t="str">
            <v/>
          </cell>
          <cell r="J11" t="str">
            <v>image10.jpeg</v>
          </cell>
        </row>
        <row r="12">
          <cell r="B12" t="str">
            <v>Châu Thanh Hiếu</v>
          </cell>
          <cell r="C12" t="str">
            <v>KTX089084008529</v>
          </cell>
          <cell r="D12" t="str">
            <v>089084008529</v>
          </cell>
          <cell r="E12" t="str">
            <v>C04, BA5, B04, E01, C01, D05, C05, C02, C06, C03, BA2, BA4, BA3, BA1, B03, D03, D02, D06, D04, B01, B02, B05, E03, E02, E04</v>
          </cell>
          <cell r="F12" t="str">
            <v>089084008529</v>
          </cell>
          <cell r="G12" t="b">
            <v>1</v>
          </cell>
          <cell r="H12" t="str">
            <v>04/03/2024 11:14:14</v>
          </cell>
          <cell r="I12" t="str">
            <v/>
          </cell>
          <cell r="J12" t="str">
            <v>image11.jpeg</v>
          </cell>
        </row>
        <row r="13">
          <cell r="B13" t="str">
            <v>Chề Long Bảo</v>
          </cell>
          <cell r="C13" t="str">
            <v>KTX079099026760</v>
          </cell>
          <cell r="D13" t="str">
            <v>079099026760</v>
          </cell>
          <cell r="E13" t="str">
            <v>E03, E02, B01, B02, B03, B04, B05, BA1, BA2, BA3, BA4, BA5, C01, C02, C03, C04, C05, C06, D02, D03, D04, D05, D06, E01, E04</v>
          </cell>
          <cell r="F13" t="str">
            <v>079099026760</v>
          </cell>
          <cell r="G13" t="b">
            <v>1</v>
          </cell>
          <cell r="H13" t="str">
            <v>03/02/2024 10:43:53</v>
          </cell>
          <cell r="I13" t="str">
            <v/>
          </cell>
          <cell r="J13" t="str">
            <v>image12.jpeg</v>
          </cell>
        </row>
        <row r="14">
          <cell r="B14" t="str">
            <v>Chu Văn Hoàng</v>
          </cell>
          <cell r="C14" t="str">
            <v>KTX040072000185</v>
          </cell>
          <cell r="D14" t="str">
            <v>040072000185</v>
          </cell>
          <cell r="E14" t="str">
            <v>E03, E02</v>
          </cell>
          <cell r="F14" t="str">
            <v>040072000185</v>
          </cell>
          <cell r="G14" t="b">
            <v>1</v>
          </cell>
          <cell r="H14" t="str">
            <v>15/04/2025 09:54:56</v>
          </cell>
          <cell r="I14" t="str">
            <v/>
          </cell>
          <cell r="J14" t="str">
            <v>image13.jpeg</v>
          </cell>
        </row>
        <row r="15">
          <cell r="B15" t="str">
            <v>Đặng Bá Bính</v>
          </cell>
          <cell r="C15" t="str">
            <v>KTX040076016070</v>
          </cell>
          <cell r="D15" t="str">
            <v>00128859227752</v>
          </cell>
          <cell r="E15" t="str">
            <v>E03, E02, B01, B02, B03, B04, B05, BA1, BA2, BA3, BA4, BA5, C01, C02, C03, C04, C05, C06, D02, D03, D04, D05, D06, E01, E04</v>
          </cell>
          <cell r="F15" t="str">
            <v>00313542867092</v>
          </cell>
          <cell r="G15" t="b">
            <v>1</v>
          </cell>
          <cell r="H15" t="str">
            <v>03/02/2024 10:39:27</v>
          </cell>
          <cell r="I15" t="str">
            <v/>
          </cell>
          <cell r="J15" t="str">
            <v>image14.jpeg</v>
          </cell>
        </row>
        <row r="16">
          <cell r="B16" t="str">
            <v>Đặng Duy Thiện</v>
          </cell>
          <cell r="C16" t="str">
            <v>KTX030066005058</v>
          </cell>
          <cell r="D16" t="str">
            <v>030066005058</v>
          </cell>
          <cell r="E16" t="str">
            <v>E01, E02, E04, E03</v>
          </cell>
          <cell r="F16" t="str">
            <v>030066005058</v>
          </cell>
          <cell r="G16" t="b">
            <v>1</v>
          </cell>
          <cell r="H16" t="str">
            <v>06/03/2024 09:37:36</v>
          </cell>
          <cell r="I16" t="str">
            <v/>
          </cell>
          <cell r="J16" t="str">
            <v>image15.jpeg</v>
          </cell>
        </row>
        <row r="17">
          <cell r="B17" t="str">
            <v>Đặng Minh Tuấn</v>
          </cell>
          <cell r="C17" t="str">
            <v>KTX027071000167</v>
          </cell>
          <cell r="D17" t="str">
            <v>027071000167</v>
          </cell>
          <cell r="E17" t="str">
            <v>C04, BA5, B04, E01, C01, D05, C05, C02, C06, C03, BA2, BA4, BA3, BA1, B03, D03, D02, D06, D04, B01, B02, B05, E04, E03, E02</v>
          </cell>
          <cell r="F17" t="str">
            <v>027071000167</v>
          </cell>
          <cell r="G17" t="b">
            <v>1</v>
          </cell>
          <cell r="H17" t="str">
            <v>23/02/2024 15:24:34</v>
          </cell>
          <cell r="I17" t="str">
            <v/>
          </cell>
          <cell r="J17" t="str">
            <v>image16.jpeg</v>
          </cell>
        </row>
        <row r="18">
          <cell r="B18" t="str">
            <v>Đặng Phi Hùng</v>
          </cell>
          <cell r="C18" t="str">
            <v>KTX042094009618</v>
          </cell>
          <cell r="D18" t="str">
            <v>042094009618</v>
          </cell>
          <cell r="E18" t="str">
            <v>E03, E02, B01, B02, B03, B04, B05, BA1, BA2, BA3, BA4, BA5, C01, C02, C03, C04, C05, C06, D02, D03, D04, D05, D06, E01, E04</v>
          </cell>
          <cell r="F18" t="str">
            <v>042094009618</v>
          </cell>
          <cell r="G18" t="b">
            <v>1</v>
          </cell>
          <cell r="H18" t="str">
            <v>15/04/2025 09:24:16</v>
          </cell>
          <cell r="I18" t="str">
            <v/>
          </cell>
          <cell r="J18" t="str">
            <v>image17.jpeg</v>
          </cell>
        </row>
        <row r="19">
          <cell r="B19" t="str">
            <v>Đặng Thị Hải Lam</v>
          </cell>
          <cell r="C19" t="str">
            <v>KTX040188034357</v>
          </cell>
          <cell r="D19" t="str">
            <v>040188034357</v>
          </cell>
          <cell r="E19" t="str">
            <v>C04, BA5, B04, E01, C01, D05, C05, C02, C06, C03, BA2, BA4, BA3, BA1, B03, D03, D02, D06, D04, B01, B02, B05, E03, E02, E04</v>
          </cell>
          <cell r="F19" t="str">
            <v>040188034357</v>
          </cell>
          <cell r="G19" t="b">
            <v>1</v>
          </cell>
          <cell r="H19" t="str">
            <v>29/02/2024 11:31:13</v>
          </cell>
          <cell r="I19" t="str">
            <v/>
          </cell>
          <cell r="J19" t="str">
            <v>image18.jpeg</v>
          </cell>
        </row>
        <row r="20">
          <cell r="B20" t="str">
            <v>Đặng Thị Nga</v>
          </cell>
          <cell r="C20" t="str">
            <v>KTX064191005736</v>
          </cell>
          <cell r="D20" t="str">
            <v>064191005736</v>
          </cell>
          <cell r="E20" t="str">
            <v>C04, BA5, B04, E01, C01, D05, C05, C02, C06, C03, BA2, BA4, BA3, BA1, B03, D03, D02, D06, D04, B01, B02, B05, E03, E02, E04</v>
          </cell>
          <cell r="F20" t="str">
            <v>064191005736</v>
          </cell>
          <cell r="G20" t="b">
            <v>1</v>
          </cell>
          <cell r="H20" t="str">
            <v>29/02/2024 13:47:35</v>
          </cell>
          <cell r="I20" t="str">
            <v/>
          </cell>
          <cell r="J20" t="str">
            <v>image19.jpeg</v>
          </cell>
        </row>
        <row r="21">
          <cell r="B21" t="str">
            <v>Đặng Thị Phương</v>
          </cell>
          <cell r="C21" t="str">
            <v>KTX042194000393</v>
          </cell>
          <cell r="D21" t="str">
            <v>042194000393</v>
          </cell>
          <cell r="E21" t="str">
            <v>E02, E03</v>
          </cell>
          <cell r="F21" t="str">
            <v>042194000393</v>
          </cell>
          <cell r="G21" t="b">
            <v>1</v>
          </cell>
          <cell r="H21" t="str">
            <v>23/02/2024 14:56:52</v>
          </cell>
          <cell r="I21" t="str">
            <v/>
          </cell>
          <cell r="J21" t="str">
            <v>image20.jpeg</v>
          </cell>
        </row>
        <row r="22">
          <cell r="B22" t="str">
            <v>Đặng Thị Trà My</v>
          </cell>
          <cell r="C22" t="str">
            <v>KTX052198002926</v>
          </cell>
          <cell r="D22" t="str">
            <v>052198002926</v>
          </cell>
          <cell r="E22" t="str">
            <v>C04, BA5, B04, E01, C01, D05, C05, C02, C06, C03, BA2, BA4, BA3, BA1, B03, D03, D02, D06, D04, B01, B02, B05, E03, E02, E04</v>
          </cell>
          <cell r="F22" t="str">
            <v>052198002926</v>
          </cell>
          <cell r="G22" t="b">
            <v>1</v>
          </cell>
          <cell r="H22" t="str">
            <v>29/02/2024 13:47:22</v>
          </cell>
          <cell r="I22" t="str">
            <v/>
          </cell>
          <cell r="J22" t="str">
            <v>image21.jpeg</v>
          </cell>
        </row>
        <row r="23">
          <cell r="B23" t="str">
            <v>Đặng Thị Tuyết Trinh</v>
          </cell>
          <cell r="C23" t="str">
            <v>KTX079174021759</v>
          </cell>
          <cell r="D23" t="str">
            <v>079174021759</v>
          </cell>
          <cell r="E23" t="str">
            <v>E03, E02</v>
          </cell>
          <cell r="F23" t="str">
            <v>079174021759</v>
          </cell>
          <cell r="G23" t="b">
            <v>1</v>
          </cell>
          <cell r="H23" t="str">
            <v>15/04/2025 09:45:46</v>
          </cell>
          <cell r="I23" t="str">
            <v/>
          </cell>
          <cell r="J23" t="str">
            <v>image22.jpeg</v>
          </cell>
        </row>
        <row r="24">
          <cell r="B24" t="str">
            <v>Đào Quốc Tuyến</v>
          </cell>
          <cell r="C24" t="str">
            <v>KTX075076002333</v>
          </cell>
          <cell r="D24" t="str">
            <v>075076002333</v>
          </cell>
          <cell r="E24" t="str">
            <v>D05, D03, D02, D06, D04, E02, E03</v>
          </cell>
          <cell r="F24" t="str">
            <v>075076002333</v>
          </cell>
          <cell r="G24" t="b">
            <v>1</v>
          </cell>
          <cell r="H24" t="str">
            <v>28/02/2024 14:28:27</v>
          </cell>
          <cell r="I24" t="str">
            <v/>
          </cell>
          <cell r="J24" t="str">
            <v>image23.jpeg</v>
          </cell>
        </row>
        <row r="25">
          <cell r="B25" t="str">
            <v>Đinh Công Minh</v>
          </cell>
          <cell r="C25" t="str">
            <v>KTX001070000159</v>
          </cell>
          <cell r="D25" t="str">
            <v>001070000159</v>
          </cell>
          <cell r="E25" t="str">
            <v>C04, BA5, B04, E01, C01, D05, C05, C02, C06, C03, BA2, BA4, BA3, BA1, B03, D03, D02, D06, D04, B01, B02, B05, E02, E03, E04</v>
          </cell>
          <cell r="F25" t="str">
            <v>001070000159</v>
          </cell>
          <cell r="G25" t="b">
            <v>1</v>
          </cell>
          <cell r="H25" t="str">
            <v>23/02/2024 15:30:03</v>
          </cell>
          <cell r="I25" t="str">
            <v/>
          </cell>
          <cell r="J25" t="str">
            <v>image24.jpeg</v>
          </cell>
        </row>
        <row r="26">
          <cell r="B26" t="str">
            <v>Đinh Huỳnh Đức</v>
          </cell>
          <cell r="C26" t="str">
            <v>KTX040099019824</v>
          </cell>
          <cell r="D26" t="str">
            <v>040099019824</v>
          </cell>
          <cell r="E26" t="str">
            <v>C04, BA5, B04, E01, C01, D05, C05, C02, C06, C03, BA2, BA4, BA3, BA1, B03, D03, D02, D06, D04, B01, B02, B05, E02, E04, E03</v>
          </cell>
          <cell r="F26" t="str">
            <v>040099019824</v>
          </cell>
          <cell r="G26" t="b">
            <v>1</v>
          </cell>
          <cell r="H26" t="str">
            <v>28/03/2024 15:06:18</v>
          </cell>
          <cell r="I26" t="str">
            <v/>
          </cell>
          <cell r="J26" t="str">
            <v>image25.jpeg</v>
          </cell>
        </row>
        <row r="27">
          <cell r="B27" t="str">
            <v>Đinh Thị Lan Anh</v>
          </cell>
          <cell r="C27" t="str">
            <v>KTX048183007442</v>
          </cell>
          <cell r="D27" t="str">
            <v>048183007442</v>
          </cell>
          <cell r="E27" t="str">
            <v>E02, E03, BA1, BA2, BA3, BA4, BA5</v>
          </cell>
          <cell r="F27" t="str">
            <v>048183007442</v>
          </cell>
          <cell r="G27" t="b">
            <v>1</v>
          </cell>
          <cell r="H27" t="str">
            <v>28/02/2024 14:23:54</v>
          </cell>
          <cell r="I27" t="str">
            <v/>
          </cell>
          <cell r="J27" t="str">
            <v>image26.jpeg</v>
          </cell>
        </row>
        <row r="28">
          <cell r="B28" t="str">
            <v>Đinh Thị Quyền</v>
          </cell>
          <cell r="C28" t="str">
            <v>KTX080183004673</v>
          </cell>
          <cell r="D28" t="str">
            <v>080183004673</v>
          </cell>
          <cell r="E28" t="str">
            <v>C04, BA5, B04, E01, C01, D05, C05, C02, C06, C03, BA2, BA4, BA3, BA1, B03, D03, D02, D06, D04, B01, B02, B05, E03, E02, E04</v>
          </cell>
          <cell r="F28" t="str">
            <v>080183004673</v>
          </cell>
          <cell r="G28" t="b">
            <v>1</v>
          </cell>
          <cell r="H28" t="str">
            <v>04/03/2024 11:00:31</v>
          </cell>
          <cell r="I28" t="str">
            <v/>
          </cell>
          <cell r="J28" t="str">
            <v>image27.jpeg</v>
          </cell>
        </row>
        <row r="29">
          <cell r="B29" t="str">
            <v>Đinh Thị Thủy</v>
          </cell>
          <cell r="C29" t="str">
            <v>KTX056183001368</v>
          </cell>
          <cell r="D29" t="str">
            <v>056183001368</v>
          </cell>
          <cell r="E29" t="str">
            <v>E03, E02</v>
          </cell>
          <cell r="F29" t="str">
            <v>056183001368</v>
          </cell>
          <cell r="G29" t="b">
            <v>1</v>
          </cell>
          <cell r="H29" t="str">
            <v>22/02/2024 15:59:58</v>
          </cell>
          <cell r="I29" t="str">
            <v/>
          </cell>
          <cell r="J29" t="str">
            <v>image28.jpeg</v>
          </cell>
        </row>
        <row r="30">
          <cell r="B30" t="str">
            <v>Đinh Thị Thúy Vân</v>
          </cell>
          <cell r="C30" t="str">
            <v>KTX038192050691</v>
          </cell>
          <cell r="D30" t="str">
            <v>038192050691</v>
          </cell>
          <cell r="E30" t="str">
            <v>E03, E02</v>
          </cell>
          <cell r="F30" t="str">
            <v>038192050691</v>
          </cell>
          <cell r="G30" t="b">
            <v>1</v>
          </cell>
          <cell r="H30" t="str">
            <v>13/08/2024 16:04:05</v>
          </cell>
          <cell r="I30" t="str">
            <v/>
          </cell>
          <cell r="J30" t="str">
            <v>image29.jpeg</v>
          </cell>
        </row>
        <row r="31">
          <cell r="B31" t="str">
            <v>Đinh Xuân Nguyên</v>
          </cell>
          <cell r="C31" t="str">
            <v>KTX089085032116</v>
          </cell>
          <cell r="D31" t="str">
            <v>089085032116</v>
          </cell>
          <cell r="E31" t="str">
            <v>E03, E02, B01, B02, B03, B04, B05, BA1, BA2, BA3, BA4, BA5, C01, C02, C03, C04, C05, C06, D02, D03, D04, D05, D06, E01, E04</v>
          </cell>
          <cell r="F31" t="str">
            <v>089085032116</v>
          </cell>
          <cell r="G31" t="b">
            <v>1</v>
          </cell>
          <cell r="H31" t="str">
            <v>03/02/2024 10:42:45</v>
          </cell>
          <cell r="I31" t="str">
            <v/>
          </cell>
          <cell r="J31" t="str">
            <v>image30.jpeg</v>
          </cell>
        </row>
        <row r="32">
          <cell r="B32" t="str">
            <v>Đỗ Anh Tài</v>
          </cell>
          <cell r="C32" t="str">
            <v>KTX038073020505</v>
          </cell>
          <cell r="D32" t="str">
            <v>038073020505</v>
          </cell>
          <cell r="E32" t="str">
            <v>C04, BA5, B04, E01, C01, D05, C05, C02, C06, C03, BA2, BA4, BA3, BA1, B03, D03, D02, D06, D04, B01, B02, B05, E03, E02, E04</v>
          </cell>
          <cell r="F32" t="str">
            <v>038073020505</v>
          </cell>
          <cell r="G32" t="b">
            <v>1</v>
          </cell>
          <cell r="H32" t="str">
            <v>04/03/2024 11:09:34</v>
          </cell>
          <cell r="I32" t="str">
            <v/>
          </cell>
          <cell r="J32" t="str">
            <v>image31.jpeg</v>
          </cell>
        </row>
        <row r="33">
          <cell r="B33" t="str">
            <v>Đoàn Quang Minh</v>
          </cell>
          <cell r="C33" t="str">
            <v>KTX079099034585</v>
          </cell>
          <cell r="D33" t="str">
            <v>079099034585</v>
          </cell>
          <cell r="E33" t="str">
            <v>C04, BA5, B04, E01, C01, D05, C05, E02, C02, C06, C03, BA2, BA4, BA3, BA1, B03, D03, D02, D06, D04, B01, B02, B05, E03, E04</v>
          </cell>
          <cell r="F33" t="str">
            <v>079099034585</v>
          </cell>
          <cell r="G33" t="b">
            <v>1</v>
          </cell>
          <cell r="H33" t="str">
            <v>29/02/2024 13:47:08</v>
          </cell>
          <cell r="I33" t="str">
            <v/>
          </cell>
          <cell r="J33" t="str">
            <v>image32.jpeg</v>
          </cell>
        </row>
        <row r="34">
          <cell r="B34" t="str">
            <v>Đoàn Tiến Dũng</v>
          </cell>
          <cell r="C34" t="str">
            <v>KTX044086007710</v>
          </cell>
          <cell r="D34" t="str">
            <v>044086007710</v>
          </cell>
          <cell r="E34" t="str">
            <v>E03, E02</v>
          </cell>
          <cell r="F34" t="str">
            <v>044086007710</v>
          </cell>
          <cell r="G34" t="b">
            <v>1</v>
          </cell>
          <cell r="H34" t="str">
            <v>15/04/2025 09:45:46</v>
          </cell>
          <cell r="I34" t="str">
            <v/>
          </cell>
          <cell r="J34" t="str">
            <v>image33.jpeg</v>
          </cell>
        </row>
        <row r="35">
          <cell r="B35" t="str">
            <v>Đoàn văn Hoan</v>
          </cell>
          <cell r="C35" t="str">
            <v>KTX030082003746</v>
          </cell>
          <cell r="D35" t="str">
            <v>030082003746</v>
          </cell>
          <cell r="E35" t="str">
            <v>E01, E02, E04, E03</v>
          </cell>
          <cell r="F35" t="str">
            <v>030082003746</v>
          </cell>
          <cell r="G35" t="b">
            <v>1</v>
          </cell>
          <cell r="H35" t="str">
            <v>06/03/2024 09:37:56</v>
          </cell>
          <cell r="I35" t="str">
            <v/>
          </cell>
          <cell r="J35" t="str">
            <v>image34.jpeg</v>
          </cell>
        </row>
        <row r="36">
          <cell r="B36" t="str">
            <v>Đỗ Minh Toàn</v>
          </cell>
          <cell r="C36" t="str">
            <v>KTX072091002301</v>
          </cell>
          <cell r="D36" t="str">
            <v>072091002301</v>
          </cell>
          <cell r="E36" t="str">
            <v>C04, BA5, B04, E01, C01, D05, C05, C02, C06, C03, BA2, BA4, BA3, BA1, B03, D03, D02, D06, D04, B01, B02, B05, E03, E02, E04</v>
          </cell>
          <cell r="F36" t="str">
            <v>072091002301</v>
          </cell>
          <cell r="G36" t="b">
            <v>1</v>
          </cell>
          <cell r="H36" t="str">
            <v>04/03/2024 11:15:12</v>
          </cell>
          <cell r="I36" t="str">
            <v/>
          </cell>
          <cell r="J36" t="str">
            <v>image35.jpeg</v>
          </cell>
        </row>
        <row r="37">
          <cell r="B37" t="str">
            <v>Đỗ Sơn Khánh</v>
          </cell>
          <cell r="C37" t="str">
            <v>KTX060079015365</v>
          </cell>
          <cell r="D37" t="str">
            <v>060079015365</v>
          </cell>
          <cell r="E37" t="str">
            <v>E02, E03</v>
          </cell>
          <cell r="F37" t="str">
            <v>060079015365</v>
          </cell>
          <cell r="G37" t="b">
            <v>1</v>
          </cell>
          <cell r="H37" t="str">
            <v>13/03/2024 13:27:15</v>
          </cell>
          <cell r="I37" t="str">
            <v/>
          </cell>
          <cell r="J37" t="str">
            <v>image36.jpeg</v>
          </cell>
        </row>
        <row r="38">
          <cell r="B38" t="str">
            <v>Đỗ  Thị Huyền Thu</v>
          </cell>
          <cell r="C38" t="str">
            <v>KTX074190001352</v>
          </cell>
          <cell r="D38" t="str">
            <v>074190001352</v>
          </cell>
          <cell r="E38" t="str">
            <v>BA5, BA2, BA4, BA3, BA1, E02, E03</v>
          </cell>
          <cell r="F38" t="str">
            <v>074190001352</v>
          </cell>
          <cell r="G38" t="b">
            <v>1</v>
          </cell>
          <cell r="H38" t="str">
            <v>22/02/2024 15:50:21</v>
          </cell>
          <cell r="I38" t="str">
            <v/>
          </cell>
          <cell r="J38" t="str">
            <v>image37.jpeg</v>
          </cell>
        </row>
        <row r="39">
          <cell r="B39" t="str">
            <v>Đỗ Thị Nhung</v>
          </cell>
          <cell r="C39" t="str">
            <v>KTX038190057168</v>
          </cell>
          <cell r="D39" t="str">
            <v>038190057168</v>
          </cell>
          <cell r="E39" t="str">
            <v>C04, BA5, B04, E01, C01, D05, C05, C02, C06, C03, BA2, BA4, BA3, BA1, B03, D03, D02, D06, D04, B01, B02, B05, E03, E02, E04</v>
          </cell>
          <cell r="F39" t="str">
            <v>038190057168</v>
          </cell>
          <cell r="G39" t="b">
            <v>1</v>
          </cell>
          <cell r="H39" t="str">
            <v>29/02/2024 13:47:48</v>
          </cell>
          <cell r="I39" t="str">
            <v/>
          </cell>
          <cell r="J39" t="str">
            <v>image38.jpeg</v>
          </cell>
        </row>
        <row r="40">
          <cell r="B40" t="str">
            <v>Đỗ Thị Trang</v>
          </cell>
          <cell r="C40" t="str">
            <v>KTX038192032078</v>
          </cell>
          <cell r="D40" t="str">
            <v>038192032078</v>
          </cell>
          <cell r="E40" t="str">
            <v>D05, D03, D02, D06, D04, E03, E02</v>
          </cell>
          <cell r="F40" t="str">
            <v>038192032078</v>
          </cell>
          <cell r="G40" t="b">
            <v>1</v>
          </cell>
          <cell r="H40" t="str">
            <v>25/12/2024 09:25:31</v>
          </cell>
          <cell r="I40" t="str">
            <v/>
          </cell>
          <cell r="J40" t="str">
            <v>image39.jpeg</v>
          </cell>
        </row>
        <row r="41">
          <cell r="B41" t="str">
            <v>Đỗ Văn Hăng</v>
          </cell>
          <cell r="C41" t="str">
            <v>KTX038066026871</v>
          </cell>
          <cell r="D41" t="str">
            <v>038066026871</v>
          </cell>
          <cell r="E41" t="str">
            <v>E02, E03</v>
          </cell>
          <cell r="F41" t="str">
            <v>038066026871</v>
          </cell>
          <cell r="G41" t="b">
            <v>1</v>
          </cell>
          <cell r="H41" t="str">
            <v>13/03/2024 13:30:54</v>
          </cell>
          <cell r="I41" t="str">
            <v/>
          </cell>
          <cell r="J41" t="str">
            <v>image40.jpeg</v>
          </cell>
        </row>
        <row r="42">
          <cell r="B42" t="str">
            <v>Dư Đình Dũng</v>
          </cell>
          <cell r="C42" t="str">
            <v>KTX070090008349</v>
          </cell>
          <cell r="D42" t="str">
            <v>070090008349</v>
          </cell>
          <cell r="E42" t="str">
            <v>E03, E02</v>
          </cell>
          <cell r="F42" t="str">
            <v>070090008349</v>
          </cell>
          <cell r="G42" t="b">
            <v>1</v>
          </cell>
          <cell r="H42" t="str">
            <v>15/04/2025 09:45:46</v>
          </cell>
          <cell r="I42" t="str">
            <v/>
          </cell>
          <cell r="J42" t="str">
            <v>image41.jpeg</v>
          </cell>
        </row>
        <row r="43">
          <cell r="B43" t="str">
            <v>Dương Thị Diệu Mỹ</v>
          </cell>
          <cell r="C43" t="str">
            <v>KTX046193009778</v>
          </cell>
          <cell r="D43" t="str">
            <v>046193009778</v>
          </cell>
          <cell r="E43" t="str">
            <v>E02, E03</v>
          </cell>
          <cell r="F43" t="str">
            <v>046193009778</v>
          </cell>
          <cell r="G43" t="b">
            <v>1</v>
          </cell>
          <cell r="H43" t="str">
            <v>23/02/2024 14:56:05</v>
          </cell>
          <cell r="I43" t="str">
            <v/>
          </cell>
          <cell r="J43" t="str">
            <v>image42.jpeg</v>
          </cell>
        </row>
        <row r="44">
          <cell r="B44" t="str">
            <v>Dương Văn Binh</v>
          </cell>
          <cell r="C44" t="str">
            <v>KTX040066000338</v>
          </cell>
          <cell r="D44" t="str">
            <v>040066000338</v>
          </cell>
          <cell r="E44" t="str">
            <v>E02, E03</v>
          </cell>
          <cell r="F44" t="str">
            <v>040066000338</v>
          </cell>
          <cell r="G44" t="b">
            <v>1</v>
          </cell>
          <cell r="H44" t="str">
            <v>13/03/2024 13:25:29</v>
          </cell>
          <cell r="I44" t="str">
            <v/>
          </cell>
          <cell r="J44" t="str">
            <v>image43.jpeg</v>
          </cell>
        </row>
        <row r="45">
          <cell r="B45" t="str">
            <v>Dương Văn Tuấn</v>
          </cell>
          <cell r="C45" t="str">
            <v>KTX082077013772</v>
          </cell>
          <cell r="D45" t="str">
            <v>082077013772</v>
          </cell>
          <cell r="E45" t="str">
            <v>C04, BA5, B04, E01, C01, D05, C05, C02, C06, C03, BA2, BA4, BA3, BA1, B03, D03, D02, D06, D04, B01, B02, B05, E03, E02, E04</v>
          </cell>
          <cell r="F45" t="str">
            <v>082077013772</v>
          </cell>
          <cell r="G45" t="b">
            <v>1</v>
          </cell>
          <cell r="H45" t="str">
            <v>22/02/2024 16:46:11</v>
          </cell>
          <cell r="I45" t="str">
            <v/>
          </cell>
          <cell r="J45" t="str">
            <v>image44.jpeg</v>
          </cell>
        </row>
        <row r="46">
          <cell r="B46" t="str">
            <v>DƯƠNG XUÂN THÀNH</v>
          </cell>
          <cell r="C46" t="str">
            <v>KTX037076015646</v>
          </cell>
          <cell r="D46" t="str">
            <v>037076015646</v>
          </cell>
          <cell r="E46" t="str">
            <v>C04, BA5, B04, E01, C01, D05, C05, C02, C06, C03, BA2, BA4, BA3, BA1, B03, D03, D02, E04, D06, D04, B01, B02, B05, E03, E02</v>
          </cell>
          <cell r="F46" t="str">
            <v>037076015646</v>
          </cell>
          <cell r="G46" t="b">
            <v>1</v>
          </cell>
          <cell r="H46" t="str">
            <v>23/02/2024 16:08:15</v>
          </cell>
          <cell r="I46" t="str">
            <v/>
          </cell>
          <cell r="J46" t="str">
            <v>image45.jpeg</v>
          </cell>
        </row>
        <row r="47">
          <cell r="B47" t="str">
            <v>Hàn Văn Thi</v>
          </cell>
          <cell r="C47" t="str">
            <v>KTX038085006756</v>
          </cell>
          <cell r="D47" t="str">
            <v>038085006756</v>
          </cell>
          <cell r="E47" t="str">
            <v>B04, B03, B01, B02, B05, E03, E02, BA1, BA2, BA3, BA4, BA5, C01, C02, C03, C04, C05, C06, D02, D03, D04, D05, D06, E01, E04</v>
          </cell>
          <cell r="F47" t="str">
            <v>038085006756</v>
          </cell>
          <cell r="G47" t="b">
            <v>1</v>
          </cell>
          <cell r="H47" t="str">
            <v>01/03/2024 14:48:35</v>
          </cell>
          <cell r="I47" t="str">
            <v/>
          </cell>
          <cell r="J47" t="str">
            <v>image46.jpeg</v>
          </cell>
        </row>
        <row r="48">
          <cell r="B48" t="str">
            <v>Hoàng Liên Sơn</v>
          </cell>
          <cell r="C48" t="str">
            <v>KTX042085020811</v>
          </cell>
          <cell r="D48" t="str">
            <v>042085020811</v>
          </cell>
          <cell r="E48" t="str">
            <v>C04, C01, C05, C02, C06, C03, E02, E03</v>
          </cell>
          <cell r="F48" t="str">
            <v>042085020811</v>
          </cell>
          <cell r="G48" t="b">
            <v>1</v>
          </cell>
          <cell r="H48" t="str">
            <v>26/02/2024 10:51:41</v>
          </cell>
          <cell r="I48" t="str">
            <v/>
          </cell>
          <cell r="J48" t="str">
            <v>image47.jpeg</v>
          </cell>
        </row>
        <row r="49">
          <cell r="B49" t="str">
            <v>Hoàng Mạnh Tài</v>
          </cell>
          <cell r="C49" t="str">
            <v>KTX044092011913</v>
          </cell>
          <cell r="D49" t="str">
            <v>044092011913</v>
          </cell>
          <cell r="E49" t="str">
            <v>D05, D03, D02, D06, D04, E02, E03</v>
          </cell>
          <cell r="F49" t="str">
            <v>044092011913</v>
          </cell>
          <cell r="G49" t="b">
            <v>1</v>
          </cell>
          <cell r="H49" t="str">
            <v>28/02/2024 14:27:53</v>
          </cell>
          <cell r="I49" t="str">
            <v/>
          </cell>
          <cell r="J49" t="str">
            <v>image48.jpeg</v>
          </cell>
        </row>
        <row r="50">
          <cell r="B50" t="str">
            <v>Hoàng Thế Mạnh</v>
          </cell>
          <cell r="C50" t="str">
            <v>KTX033087003449</v>
          </cell>
          <cell r="D50" t="str">
            <v>033087003449</v>
          </cell>
          <cell r="E50" t="str">
            <v>C04, BA5, B04, E01, C01, D05, C05, C02, C06, C03, BA2, BA4, BA3, BA1, B03, D03, D02, D06, D04, B01, B02, B05, E04, E03, E02</v>
          </cell>
          <cell r="F50" t="str">
            <v>033087003449</v>
          </cell>
          <cell r="G50" t="b">
            <v>1</v>
          </cell>
          <cell r="H50" t="str">
            <v>28/03/2024 15:05:48</v>
          </cell>
          <cell r="I50" t="str">
            <v/>
          </cell>
          <cell r="J50" t="str">
            <v>image49.jpeg</v>
          </cell>
        </row>
        <row r="51">
          <cell r="B51" t="str">
            <v>Hoàng Thị Là</v>
          </cell>
          <cell r="C51" t="str">
            <v>KTX034186001354</v>
          </cell>
          <cell r="D51" t="str">
            <v>034186001354</v>
          </cell>
          <cell r="E51" t="str">
            <v>E03, E02</v>
          </cell>
          <cell r="F51" t="str">
            <v>034186001354</v>
          </cell>
          <cell r="G51" t="b">
            <v>1</v>
          </cell>
          <cell r="H51" t="str">
            <v>15/04/2025 09:45:46</v>
          </cell>
          <cell r="I51" t="str">
            <v/>
          </cell>
          <cell r="J51" t="str">
            <v>image50.jpeg</v>
          </cell>
        </row>
        <row r="52">
          <cell r="B52" t="str">
            <v>Hoàng Thị Nguyệt</v>
          </cell>
          <cell r="C52" t="str">
            <v>KTX038181035670</v>
          </cell>
          <cell r="D52" t="str">
            <v>038181035670</v>
          </cell>
          <cell r="E52" t="str">
            <v>E02, E03</v>
          </cell>
          <cell r="F52" t="str">
            <v>038181035670</v>
          </cell>
          <cell r="G52" t="b">
            <v>1</v>
          </cell>
          <cell r="H52" t="str">
            <v>06/03/2024 09:43:29</v>
          </cell>
          <cell r="I52" t="str">
            <v/>
          </cell>
          <cell r="J52" t="str">
            <v>image51.jpeg</v>
          </cell>
        </row>
        <row r="53">
          <cell r="B53" t="str">
            <v>Hoàng Thị Sang</v>
          </cell>
          <cell r="C53" t="str">
            <v>KTX001183056529</v>
          </cell>
          <cell r="D53" t="str">
            <v>001183056529</v>
          </cell>
          <cell r="E53" t="str">
            <v>C04, BA5, B04, E01, C01, D05, C05, C02, C06, C03, BA2, BA4, BA3, BA1, B03, D03, D02, D06, D04, B01, B02, B05, E04, E03, E02</v>
          </cell>
          <cell r="F53" t="str">
            <v>001183056529</v>
          </cell>
          <cell r="G53" t="b">
            <v>1</v>
          </cell>
          <cell r="H53" t="str">
            <v>28/03/2024 15:05:19</v>
          </cell>
          <cell r="I53" t="str">
            <v/>
          </cell>
          <cell r="J53" t="str">
            <v>image52.jpeg</v>
          </cell>
        </row>
        <row r="54">
          <cell r="B54" t="str">
            <v>Hoàng văn Cường</v>
          </cell>
          <cell r="C54" t="str">
            <v>KTX038085044588</v>
          </cell>
          <cell r="D54" t="str">
            <v>038085044588</v>
          </cell>
          <cell r="E54" t="str">
            <v>E04, E01, E03, E02</v>
          </cell>
          <cell r="F54" t="str">
            <v>038085044588</v>
          </cell>
          <cell r="G54" t="b">
            <v>1</v>
          </cell>
          <cell r="H54" t="str">
            <v>23/07/2024 16:53:12</v>
          </cell>
          <cell r="I54" t="str">
            <v/>
          </cell>
          <cell r="J54" t="str">
            <v>image53.jpeg</v>
          </cell>
        </row>
        <row r="55">
          <cell r="B55" t="str">
            <v>Hoàng Văn Định</v>
          </cell>
          <cell r="C55" t="str">
            <v>KTX038073018358</v>
          </cell>
          <cell r="D55" t="str">
            <v>038073018358</v>
          </cell>
          <cell r="E55" t="str">
            <v>E03, E02</v>
          </cell>
          <cell r="F55" t="str">
            <v>038073018358</v>
          </cell>
          <cell r="G55" t="b">
            <v>1</v>
          </cell>
          <cell r="H55" t="str">
            <v>22/02/2024 16:01:48</v>
          </cell>
          <cell r="I55" t="str">
            <v/>
          </cell>
          <cell r="J55" t="str">
            <v>image54.jpeg</v>
          </cell>
        </row>
        <row r="56">
          <cell r="B56" t="str">
            <v>Hoàng Văn Luận</v>
          </cell>
          <cell r="C56" t="str">
            <v>KTX038070017893</v>
          </cell>
          <cell r="D56" t="str">
            <v>038070017893</v>
          </cell>
          <cell r="E56" t="str">
            <v>E02, E03</v>
          </cell>
          <cell r="F56" t="str">
            <v>038070017893</v>
          </cell>
          <cell r="G56" t="b">
            <v>1</v>
          </cell>
          <cell r="H56" t="str">
            <v>06/03/2024 09:49:12</v>
          </cell>
          <cell r="I56" t="str">
            <v/>
          </cell>
          <cell r="J56" t="str">
            <v>image55.jpeg</v>
          </cell>
        </row>
        <row r="57">
          <cell r="B57" t="str">
            <v>Hoàng Văn Tình</v>
          </cell>
          <cell r="C57" t="str">
            <v>KTX066087003159</v>
          </cell>
          <cell r="D57" t="str">
            <v>066087003159</v>
          </cell>
          <cell r="E57" t="str">
            <v>E03, E02</v>
          </cell>
          <cell r="F57" t="str">
            <v>066087003159</v>
          </cell>
          <cell r="G57" t="b">
            <v>1</v>
          </cell>
          <cell r="H57" t="str">
            <v>27/07/2024 09:47:33</v>
          </cell>
          <cell r="I57" t="str">
            <v/>
          </cell>
          <cell r="J57" t="str">
            <v>image56.jpeg</v>
          </cell>
        </row>
        <row r="58">
          <cell r="B58" t="str">
            <v>Hoàng Văn Tuấn</v>
          </cell>
          <cell r="C58" t="str">
            <v>KTX038093006966</v>
          </cell>
          <cell r="D58" t="str">
            <v>038093006966</v>
          </cell>
          <cell r="E58" t="str">
            <v>E03, E02</v>
          </cell>
          <cell r="F58" t="str">
            <v>038093006966</v>
          </cell>
          <cell r="G58" t="b">
            <v>1</v>
          </cell>
          <cell r="H58" t="str">
            <v>29/07/2024 10:59:51</v>
          </cell>
          <cell r="I58" t="str">
            <v/>
          </cell>
          <cell r="J58" t="str">
            <v>image57.jpeg</v>
          </cell>
        </row>
        <row r="59">
          <cell r="B59" t="str">
            <v>Hỏa Tuấn Hiền</v>
          </cell>
          <cell r="C59" t="str">
            <v>KTX075201065839</v>
          </cell>
          <cell r="D59" t="str">
            <v>075201065839</v>
          </cell>
          <cell r="E59" t="str">
            <v>B01, B02, B03, B04, B05, BA1, BA2, BA3, BA4, BA5, C01, C02, C03, C04, C05, C06, D02, D03, D04, D05, D06, E01, E04, E03, E02</v>
          </cell>
          <cell r="F59" t="str">
            <v>075201065839</v>
          </cell>
          <cell r="G59" t="b">
            <v>1</v>
          </cell>
          <cell r="H59" t="str">
            <v>26/09/2024 11:18:35</v>
          </cell>
          <cell r="I59" t="str">
            <v/>
          </cell>
          <cell r="J59" t="str">
            <v>image58.jpeg</v>
          </cell>
        </row>
        <row r="60">
          <cell r="B60" t="str">
            <v>Hỏa Văn Minh</v>
          </cell>
          <cell r="C60" t="str">
            <v>KTX038083024704</v>
          </cell>
          <cell r="D60" t="str">
            <v>038083024704</v>
          </cell>
          <cell r="E60" t="str">
            <v>E01, E04, E03, E02</v>
          </cell>
          <cell r="F60" t="str">
            <v>038083024704</v>
          </cell>
          <cell r="G60" t="b">
            <v>1</v>
          </cell>
          <cell r="H60" t="str">
            <v>06/03/2024 09:32:12</v>
          </cell>
          <cell r="I60" t="str">
            <v/>
          </cell>
          <cell r="J60" t="str">
            <v>image59.jpeg</v>
          </cell>
        </row>
        <row r="61">
          <cell r="B61" t="str">
            <v>Hồ Cao Thông</v>
          </cell>
          <cell r="C61" t="str">
            <v>KTX051089000303</v>
          </cell>
          <cell r="D61" t="str">
            <v>051089000303</v>
          </cell>
          <cell r="E61" t="str">
            <v>D05, D03, D02, D06, D04, E02, E03</v>
          </cell>
          <cell r="F61" t="str">
            <v>051089000303</v>
          </cell>
          <cell r="G61" t="b">
            <v>1</v>
          </cell>
          <cell r="H61" t="str">
            <v>28/02/2024 14:28:51</v>
          </cell>
          <cell r="I61" t="str">
            <v/>
          </cell>
          <cell r="J61" t="str">
            <v>image60.jpeg</v>
          </cell>
        </row>
        <row r="62">
          <cell r="B62" t="str">
            <v>Hồ Thị Ánh Nguyệt</v>
          </cell>
          <cell r="C62" t="str">
            <v>KTX052198009014</v>
          </cell>
          <cell r="D62" t="str">
            <v>052198009014</v>
          </cell>
          <cell r="E62" t="str">
            <v>E02, E03</v>
          </cell>
          <cell r="F62" t="str">
            <v>052198009014</v>
          </cell>
          <cell r="G62" t="b">
            <v>1</v>
          </cell>
          <cell r="H62" t="str">
            <v>23/02/2024 14:55:29</v>
          </cell>
          <cell r="I62" t="str">
            <v/>
          </cell>
          <cell r="J62" t="str">
            <v>image61.jpeg</v>
          </cell>
        </row>
        <row r="63">
          <cell r="B63" t="str">
            <v>Hồ Thị Lệ Hoa</v>
          </cell>
          <cell r="C63" t="str">
            <v>KTX052177012547</v>
          </cell>
          <cell r="D63" t="str">
            <v>052177012547</v>
          </cell>
          <cell r="E63" t="str">
            <v>E02, E03</v>
          </cell>
          <cell r="F63" t="str">
            <v>052177012547</v>
          </cell>
          <cell r="G63" t="b">
            <v>1</v>
          </cell>
          <cell r="H63" t="str">
            <v>23/02/2024 14:54:33</v>
          </cell>
          <cell r="I63" t="str">
            <v/>
          </cell>
          <cell r="J63" t="str">
            <v>image62.jpeg</v>
          </cell>
        </row>
        <row r="64">
          <cell r="B64" t="str">
            <v>Hồ Thị Thu Hiền</v>
          </cell>
          <cell r="C64" t="str">
            <v>KTX040196030707</v>
          </cell>
          <cell r="D64" t="str">
            <v>040196030707</v>
          </cell>
          <cell r="E64" t="str">
            <v>E03, E02</v>
          </cell>
          <cell r="F64" t="str">
            <v>040196030707</v>
          </cell>
          <cell r="G64" t="b">
            <v>1</v>
          </cell>
          <cell r="H64" t="str">
            <v>22/02/2024 16:02:57</v>
          </cell>
          <cell r="I64" t="str">
            <v/>
          </cell>
          <cell r="J64" t="str">
            <v>image63.jpeg</v>
          </cell>
        </row>
        <row r="65">
          <cell r="B65" t="str">
            <v>Hồ Xuân Kỷ</v>
          </cell>
          <cell r="C65" t="str">
            <v>KTX040089015077</v>
          </cell>
          <cell r="D65" t="str">
            <v>040089015077</v>
          </cell>
          <cell r="E65" t="str">
            <v>D05, D03, D02, D06, D04, E02, E03</v>
          </cell>
          <cell r="F65" t="str">
            <v>040089015077</v>
          </cell>
          <cell r="G65" t="b">
            <v>1</v>
          </cell>
          <cell r="H65" t="str">
            <v>28/02/2024 14:26:06</v>
          </cell>
          <cell r="I65" t="str">
            <v/>
          </cell>
          <cell r="J65" t="str">
            <v>image64.jpeg</v>
          </cell>
        </row>
        <row r="66">
          <cell r="B66" t="str">
            <v>Hứa Tấn Liệt</v>
          </cell>
          <cell r="C66" t="str">
            <v>KTX091079005838</v>
          </cell>
          <cell r="D66" t="str">
            <v>091079005838</v>
          </cell>
          <cell r="E66" t="str">
            <v>B01, B02, B03, B04, B05, E03, E02</v>
          </cell>
          <cell r="F66" t="str">
            <v>091079005838</v>
          </cell>
          <cell r="G66" t="b">
            <v>1</v>
          </cell>
          <cell r="H66" t="str">
            <v>16/09/2024 08:05:23</v>
          </cell>
          <cell r="I66" t="str">
            <v/>
          </cell>
          <cell r="J66" t="str">
            <v>image65.jpeg</v>
          </cell>
        </row>
        <row r="67">
          <cell r="B67" t="str">
            <v>Huỳnh Hoàng Thanh</v>
          </cell>
          <cell r="C67" t="str">
            <v>KTX084099003539</v>
          </cell>
          <cell r="D67" t="str">
            <v>084099003539</v>
          </cell>
          <cell r="E67" t="str">
            <v>C04, BA5, B04, E01, C01, D05, C05, C02, C06, C03, BA2, BA4, BA3, BA1, B03, D03, D02, D06, D04, B01, B02, B05, E03, E02, E04</v>
          </cell>
          <cell r="F67" t="str">
            <v>084099003539</v>
          </cell>
          <cell r="G67" t="b">
            <v>1</v>
          </cell>
          <cell r="H67" t="str">
            <v>04/03/2024 11:16:38</v>
          </cell>
          <cell r="I67" t="str">
            <v/>
          </cell>
          <cell r="J67" t="str">
            <v>image66.jpeg</v>
          </cell>
        </row>
        <row r="68">
          <cell r="B68" t="str">
            <v>Huỳnh Phan Nhật Thuỳ</v>
          </cell>
          <cell r="C68" t="str">
            <v>KTX075196009285</v>
          </cell>
          <cell r="D68" t="str">
            <v>075196009285</v>
          </cell>
          <cell r="E68" t="str">
            <v>E03, E02</v>
          </cell>
          <cell r="F68" t="str">
            <v>075196009285</v>
          </cell>
          <cell r="G68" t="b">
            <v>1</v>
          </cell>
          <cell r="H68" t="str">
            <v>15/04/2025 09:24:16</v>
          </cell>
          <cell r="I68" t="str">
            <v/>
          </cell>
          <cell r="J68" t="str">
            <v>image67.jpeg</v>
          </cell>
        </row>
        <row r="69">
          <cell r="B69" t="str">
            <v>HUỲNH VĂN ĐỔI</v>
          </cell>
          <cell r="C69" t="str">
            <v>KTX087071013301</v>
          </cell>
          <cell r="D69" t="str">
            <v>087071013301</v>
          </cell>
          <cell r="E69" t="str">
            <v>C04, BA5, B04, E01, C01, D05, C05, C02, C06, C03, BA2, BA4, BA3, BA1, B03, D03, D02, D06, D04, B01, B02, B05, E03, E02, E04</v>
          </cell>
          <cell r="F69" t="str">
            <v>087071013301</v>
          </cell>
          <cell r="G69" t="b">
            <v>1</v>
          </cell>
          <cell r="H69" t="str">
            <v>29/02/2024 14:22:23</v>
          </cell>
          <cell r="I69" t="str">
            <v/>
          </cell>
          <cell r="J69" t="str">
            <v>image68.jpeg</v>
          </cell>
        </row>
        <row r="70">
          <cell r="B70" t="str">
            <v>Huỳnh Văn Hòa</v>
          </cell>
          <cell r="C70" t="str">
            <v>KTX074074007693</v>
          </cell>
          <cell r="D70" t="str">
            <v>074074007693</v>
          </cell>
          <cell r="E70" t="str">
            <v>E03, E02</v>
          </cell>
          <cell r="F70" t="str">
            <v>074074007693</v>
          </cell>
          <cell r="G70" t="b">
            <v>1</v>
          </cell>
          <cell r="H70" t="str">
            <v>15/04/2025 09:54:56</v>
          </cell>
          <cell r="I70" t="str">
            <v/>
          </cell>
          <cell r="J70" t="str">
            <v>image69.jpeg</v>
          </cell>
        </row>
        <row r="71">
          <cell r="B71" t="str">
            <v>Lại Thế Tuân</v>
          </cell>
          <cell r="C71" t="str">
            <v>KTX038079038115</v>
          </cell>
          <cell r="D71" t="str">
            <v>038079038115</v>
          </cell>
          <cell r="E71" t="str">
            <v>C04, BA5, B04, E01, C01, D05, C05, C02, C06, C03, BA2, BA4, BA3, BA1, B03, D03, D02, D06, D04, B01, B02, B05, E03, E02, E04</v>
          </cell>
          <cell r="F71" t="str">
            <v>038079038115</v>
          </cell>
          <cell r="G71" t="b">
            <v>1</v>
          </cell>
          <cell r="H71" t="str">
            <v>22/02/2024 15:57:21</v>
          </cell>
          <cell r="I71" t="str">
            <v/>
          </cell>
          <cell r="J71" t="str">
            <v>image70.jpeg</v>
          </cell>
        </row>
        <row r="72">
          <cell r="B72" t="str">
            <v>Lâm Văn Sơn</v>
          </cell>
          <cell r="C72" t="str">
            <v>KTX079095018885</v>
          </cell>
          <cell r="D72" t="str">
            <v>079095018885</v>
          </cell>
          <cell r="E72" t="str">
            <v>E02, E03</v>
          </cell>
          <cell r="F72" t="str">
            <v>079095018885</v>
          </cell>
          <cell r="G72" t="b">
            <v>1</v>
          </cell>
          <cell r="H72" t="str">
            <v>06/03/2024 09:49:35</v>
          </cell>
          <cell r="I72" t="str">
            <v/>
          </cell>
          <cell r="J72" t="str">
            <v>image71.jpeg</v>
          </cell>
        </row>
        <row r="73">
          <cell r="B73" t="str">
            <v>Lê Chí Chinh</v>
          </cell>
          <cell r="C73" t="str">
            <v>KTX044088005832</v>
          </cell>
          <cell r="D73" t="str">
            <v>044088005832</v>
          </cell>
          <cell r="E73" t="str">
            <v>E03, E02</v>
          </cell>
          <cell r="F73" t="str">
            <v>044088005832</v>
          </cell>
          <cell r="G73" t="b">
            <v>1</v>
          </cell>
          <cell r="H73" t="str">
            <v>15/04/2025 09:45:46</v>
          </cell>
          <cell r="I73" t="str">
            <v/>
          </cell>
          <cell r="J73" t="str">
            <v>image72.jpeg</v>
          </cell>
        </row>
        <row r="74">
          <cell r="B74" t="str">
            <v>Lê Đình Nghĩa</v>
          </cell>
          <cell r="C74" t="str">
            <v>KTX038073011153</v>
          </cell>
          <cell r="D74" t="str">
            <v>038073011153</v>
          </cell>
          <cell r="E74" t="str">
            <v>E03, E02</v>
          </cell>
          <cell r="F74" t="str">
            <v>038073011153</v>
          </cell>
          <cell r="G74" t="b">
            <v>1</v>
          </cell>
          <cell r="H74" t="str">
            <v>15/04/2025 09:45:46</v>
          </cell>
          <cell r="I74" t="str">
            <v/>
          </cell>
          <cell r="J74" t="str">
            <v>image73.jpeg</v>
          </cell>
        </row>
        <row r="75">
          <cell r="B75" t="str">
            <v>Lê Hồng Vũ</v>
          </cell>
          <cell r="C75" t="str">
            <v>KTX074094008227</v>
          </cell>
          <cell r="D75" t="str">
            <v>074094008227</v>
          </cell>
          <cell r="E75" t="str">
            <v>E03, E02</v>
          </cell>
          <cell r="F75" t="str">
            <v>074094008227</v>
          </cell>
          <cell r="G75" t="b">
            <v>1</v>
          </cell>
          <cell r="H75" t="str">
            <v>15/04/2025 09:54:56</v>
          </cell>
          <cell r="I75" t="str">
            <v/>
          </cell>
          <cell r="J75" t="str">
            <v>image74.jpeg</v>
          </cell>
        </row>
        <row r="76">
          <cell r="B76" t="str">
            <v>Lê Minh Nhân</v>
          </cell>
          <cell r="C76" t="str">
            <v>KTX082093009245</v>
          </cell>
          <cell r="D76" t="str">
            <v>082093009245</v>
          </cell>
          <cell r="E76" t="str">
            <v>E03, E02, B01, B02, B03, B04, B05, BA1, BA2, BA3, BA4, BA5, C01, C02, C03, C04, C05, C06, D02, D03, D04, D05, D06, E01, E04</v>
          </cell>
          <cell r="F76" t="str">
            <v>082093009245</v>
          </cell>
          <cell r="G76" t="b">
            <v>1</v>
          </cell>
          <cell r="H76" t="str">
            <v>05/09/2024 08:41:23</v>
          </cell>
          <cell r="I76" t="str">
            <v/>
          </cell>
          <cell r="J76" t="str">
            <v>image75.jpeg</v>
          </cell>
        </row>
        <row r="77">
          <cell r="B77" t="str">
            <v>Lê Minh Thanh</v>
          </cell>
          <cell r="C77" t="str">
            <v>KTX082071020484</v>
          </cell>
          <cell r="D77" t="str">
            <v>082071020484</v>
          </cell>
          <cell r="E77" t="str">
            <v>E03, E02</v>
          </cell>
          <cell r="F77" t="str">
            <v>082071020484</v>
          </cell>
          <cell r="G77" t="b">
            <v>1</v>
          </cell>
          <cell r="H77" t="str">
            <v>15/04/2025 09:54:56</v>
          </cell>
          <cell r="I77" t="str">
            <v/>
          </cell>
          <cell r="J77" t="str">
            <v>image76.jpeg</v>
          </cell>
        </row>
        <row r="78">
          <cell r="B78" t="str">
            <v>Lê Minh Thảo</v>
          </cell>
          <cell r="C78" t="str">
            <v>KTX079077032298</v>
          </cell>
          <cell r="D78" t="str">
            <v>079077032298</v>
          </cell>
          <cell r="E78" t="str">
            <v>E01, E04, E03, E02</v>
          </cell>
          <cell r="F78" t="str">
            <v>079077032298</v>
          </cell>
          <cell r="G78" t="b">
            <v>1</v>
          </cell>
          <cell r="H78" t="str">
            <v>16/04/2025 10:35:31</v>
          </cell>
          <cell r="I78" t="str">
            <v/>
          </cell>
          <cell r="J78" t="str">
            <v>image77.jpeg</v>
          </cell>
        </row>
        <row r="79">
          <cell r="B79" t="str">
            <v>Lê Ngọc Phương</v>
          </cell>
          <cell r="C79" t="str">
            <v>KTX038079031846</v>
          </cell>
          <cell r="D79" t="str">
            <v>038079031846</v>
          </cell>
          <cell r="E79" t="str">
            <v>E01, E04, E03, E02</v>
          </cell>
          <cell r="F79" t="str">
            <v>038079031846</v>
          </cell>
          <cell r="G79" t="b">
            <v>1</v>
          </cell>
          <cell r="H79" t="str">
            <v>26/09/2024 11:18:35</v>
          </cell>
          <cell r="I79" t="str">
            <v/>
          </cell>
          <cell r="J79" t="str">
            <v>image78.jpeg</v>
          </cell>
        </row>
        <row r="80">
          <cell r="B80" t="str">
            <v>Lê Ngọc Tiến</v>
          </cell>
          <cell r="C80" t="str">
            <v>KTX074205005605</v>
          </cell>
          <cell r="D80" t="str">
            <v>074205005605</v>
          </cell>
          <cell r="E80" t="str">
            <v>E03, E02</v>
          </cell>
          <cell r="F80" t="str">
            <v>074205005605</v>
          </cell>
          <cell r="G80" t="b">
            <v>1</v>
          </cell>
          <cell r="H80" t="str">
            <v>15/04/2025 09:54:56</v>
          </cell>
          <cell r="I80" t="str">
            <v/>
          </cell>
          <cell r="J80" t="str">
            <v>image79.jpeg</v>
          </cell>
        </row>
        <row r="81">
          <cell r="B81" t="str">
            <v>Lê Nhật Vũ</v>
          </cell>
          <cell r="C81" t="str">
            <v>KTX049084001304</v>
          </cell>
          <cell r="D81" t="str">
            <v>049084001304</v>
          </cell>
          <cell r="E81" t="str">
            <v>E02, E03</v>
          </cell>
          <cell r="F81" t="str">
            <v>049084001304</v>
          </cell>
          <cell r="G81" t="b">
            <v>1</v>
          </cell>
          <cell r="H81" t="str">
            <v>23/02/2024 15:54:05</v>
          </cell>
          <cell r="I81" t="str">
            <v/>
          </cell>
          <cell r="J81" t="str">
            <v>image80.jpeg</v>
          </cell>
        </row>
        <row r="82">
          <cell r="B82" t="str">
            <v>Lê Nho Anh</v>
          </cell>
          <cell r="C82" t="str">
            <v>KTX074089001604</v>
          </cell>
          <cell r="D82" t="str">
            <v>074089001604</v>
          </cell>
          <cell r="E82" t="str">
            <v>E02, E03</v>
          </cell>
          <cell r="F82" t="str">
            <v>074089001604</v>
          </cell>
          <cell r="G82" t="b">
            <v>1</v>
          </cell>
          <cell r="H82" t="str">
            <v>06/03/2024 09:45:09</v>
          </cell>
          <cell r="I82" t="str">
            <v/>
          </cell>
          <cell r="J82" t="str">
            <v>image81.jpeg</v>
          </cell>
        </row>
        <row r="83">
          <cell r="B83" t="str">
            <v>LÊ PHÚC</v>
          </cell>
          <cell r="C83" t="str">
            <v>KTX079096000915</v>
          </cell>
          <cell r="D83" t="str">
            <v>079096000915</v>
          </cell>
          <cell r="E83" t="str">
            <v>C04, BA5, B04, E01, C01, D05, C05, C02, C06, C03, BA2, BA4, BA3, BA1, B03, D03, D02, D06, D04, B01, B02, B05, E03, E02, E04</v>
          </cell>
          <cell r="F83" t="str">
            <v>079096000915</v>
          </cell>
          <cell r="G83" t="b">
            <v>1</v>
          </cell>
          <cell r="H83" t="str">
            <v>29/02/2024 13:53:13</v>
          </cell>
          <cell r="I83" t="str">
            <v/>
          </cell>
          <cell r="J83" t="str">
            <v>image82.jpeg</v>
          </cell>
        </row>
        <row r="84">
          <cell r="B84" t="str">
            <v>Lê Tấn Cường</v>
          </cell>
          <cell r="C84" t="str">
            <v>KTX075075014257</v>
          </cell>
          <cell r="D84" t="str">
            <v>075075014257</v>
          </cell>
          <cell r="E84" t="str">
            <v>E02, E03</v>
          </cell>
          <cell r="F84" t="str">
            <v>075075014257</v>
          </cell>
          <cell r="G84" t="b">
            <v>1</v>
          </cell>
          <cell r="H84" t="str">
            <v>06/03/2024 09:48:57</v>
          </cell>
          <cell r="I84" t="str">
            <v/>
          </cell>
          <cell r="J84" t="str">
            <v>image83.jpeg</v>
          </cell>
        </row>
        <row r="85">
          <cell r="B85" t="str">
            <v>Lê Thị Giang</v>
          </cell>
          <cell r="C85" t="str">
            <v>KTX066199011370</v>
          </cell>
          <cell r="D85" t="str">
            <v>066199011370</v>
          </cell>
          <cell r="E85" t="str">
            <v>E02, E03</v>
          </cell>
          <cell r="F85" t="str">
            <v>066199011370</v>
          </cell>
          <cell r="G85" t="b">
            <v>1</v>
          </cell>
          <cell r="H85" t="str">
            <v>23/02/2024 14:57:22</v>
          </cell>
          <cell r="I85" t="str">
            <v/>
          </cell>
          <cell r="J85" t="str">
            <v>image84.jpeg</v>
          </cell>
        </row>
        <row r="86">
          <cell r="B86" t="str">
            <v>Lê Thị Mỹ Hạnh</v>
          </cell>
          <cell r="C86" t="str">
            <v>KTX042178000450</v>
          </cell>
          <cell r="D86" t="str">
            <v>042178000450</v>
          </cell>
          <cell r="E86" t="str">
            <v>D05, D03, D02, D06, D04, E02, E03</v>
          </cell>
          <cell r="F86" t="str">
            <v>042178000450</v>
          </cell>
          <cell r="G86" t="b">
            <v>1</v>
          </cell>
          <cell r="H86" t="str">
            <v>28/02/2024 14:25:43</v>
          </cell>
          <cell r="I86" t="str">
            <v/>
          </cell>
          <cell r="J86" t="str">
            <v>image85.jpeg</v>
          </cell>
        </row>
        <row r="87">
          <cell r="B87" t="str">
            <v>Lê Thị Ngọc Dung</v>
          </cell>
          <cell r="C87" t="str">
            <v>KTX086179003165</v>
          </cell>
          <cell r="D87" t="str">
            <v>086179003165</v>
          </cell>
          <cell r="E87" t="str">
            <v>C04, C01, C05, C02, C06, C03, E02, E03</v>
          </cell>
          <cell r="F87" t="str">
            <v>086179003165</v>
          </cell>
          <cell r="G87" t="b">
            <v>1</v>
          </cell>
          <cell r="H87" t="str">
            <v>26/02/2024 10:49:58</v>
          </cell>
          <cell r="I87" t="str">
            <v/>
          </cell>
          <cell r="J87" t="str">
            <v>image86.jpeg</v>
          </cell>
        </row>
        <row r="88">
          <cell r="B88" t="str">
            <v>Lê Thị Phan</v>
          </cell>
          <cell r="C88" t="str">
            <v>KTX038173 010757</v>
          </cell>
          <cell r="D88" t="str">
            <v>038173010757</v>
          </cell>
          <cell r="E88" t="str">
            <v>E03, E02</v>
          </cell>
          <cell r="F88" t="str">
            <v>038173010757</v>
          </cell>
          <cell r="G88" t="b">
            <v>1</v>
          </cell>
          <cell r="H88" t="str">
            <v>15/04/2025 09:45:46</v>
          </cell>
          <cell r="I88" t="str">
            <v/>
          </cell>
          <cell r="J88" t="str">
            <v>image87.jpeg</v>
          </cell>
        </row>
        <row r="89">
          <cell r="B89" t="str">
            <v>Lê Thị Thanh An</v>
          </cell>
          <cell r="C89" t="str">
            <v>KTX038183049921</v>
          </cell>
          <cell r="D89" t="str">
            <v>038183049921</v>
          </cell>
          <cell r="E89" t="str">
            <v>E03, E02</v>
          </cell>
          <cell r="F89" t="str">
            <v>038183049921</v>
          </cell>
          <cell r="G89" t="b">
            <v>1</v>
          </cell>
          <cell r="H89" t="str">
            <v>22/02/2024 15:58:59</v>
          </cell>
          <cell r="I89" t="str">
            <v/>
          </cell>
          <cell r="J89" t="str">
            <v>image88.jpeg</v>
          </cell>
        </row>
        <row r="90">
          <cell r="B90" t="str">
            <v>Lê Thị Thanh Thúy</v>
          </cell>
          <cell r="C90" t="str">
            <v>KTX045187001641</v>
          </cell>
          <cell r="D90" t="str">
            <v>045187001641</v>
          </cell>
          <cell r="E90" t="str">
            <v>C04, BA5, B04, E01, C01, D05, C05, C02, C06, C03, BA2, BA4, BA3, BA1, B03, D03, D02, D06, D04, B01, B02, B05, E02, E04, E03</v>
          </cell>
          <cell r="F90" t="str">
            <v>045187001641</v>
          </cell>
          <cell r="G90" t="b">
            <v>1</v>
          </cell>
          <cell r="H90" t="str">
            <v>23/02/2024 15:29:20</v>
          </cell>
          <cell r="I90" t="str">
            <v/>
          </cell>
          <cell r="J90" t="str">
            <v>image89.jpeg</v>
          </cell>
        </row>
        <row r="91">
          <cell r="B91" t="str">
            <v>Lê Thị Thủy</v>
          </cell>
          <cell r="C91" t="str">
            <v>KTX038187030707</v>
          </cell>
          <cell r="D91" t="str">
            <v>038187030707</v>
          </cell>
          <cell r="E91" t="str">
            <v>BA5, BA2, BA4, BA3, BA1, E02, E03</v>
          </cell>
          <cell r="F91" t="str">
            <v>038187030707</v>
          </cell>
          <cell r="G91" t="b">
            <v>1</v>
          </cell>
          <cell r="H91" t="str">
            <v>22/02/2024 15:50:49</v>
          </cell>
          <cell r="I91" t="str">
            <v/>
          </cell>
          <cell r="J91" t="str">
            <v>image90.jpeg</v>
          </cell>
        </row>
        <row r="92">
          <cell r="B92" t="str">
            <v>Lê Thị Thúy Hằng</v>
          </cell>
          <cell r="C92" t="str">
            <v>KTX040183031189</v>
          </cell>
          <cell r="D92" t="str">
            <v>040183031189</v>
          </cell>
          <cell r="E92" t="str">
            <v>E03, E02</v>
          </cell>
          <cell r="F92" t="str">
            <v>040183031189</v>
          </cell>
          <cell r="G92" t="b">
            <v>1</v>
          </cell>
          <cell r="H92" t="str">
            <v>16/07/2024 16:27:49</v>
          </cell>
          <cell r="I92" t="str">
            <v/>
          </cell>
          <cell r="J92" t="str">
            <v>image91.jpeg</v>
          </cell>
        </row>
        <row r="93">
          <cell r="B93" t="str">
            <v>Lê Thị Thùy Trang</v>
          </cell>
          <cell r="C93" t="str">
            <v>KTX044197002221</v>
          </cell>
          <cell r="D93" t="str">
            <v>044197002221</v>
          </cell>
          <cell r="E93" t="str">
            <v>E03, E02</v>
          </cell>
          <cell r="F93" t="str">
            <v>044197002221</v>
          </cell>
          <cell r="G93" t="b">
            <v>1</v>
          </cell>
          <cell r="H93" t="str">
            <v>22/02/2024 16:02:30</v>
          </cell>
          <cell r="I93" t="str">
            <v/>
          </cell>
          <cell r="J93" t="str">
            <v>image92.jpeg</v>
          </cell>
        </row>
        <row r="94">
          <cell r="B94" t="str">
            <v>Lê Thị Thùy Trang</v>
          </cell>
          <cell r="C94" t="str">
            <v>KTX044186000475</v>
          </cell>
          <cell r="D94" t="str">
            <v>044186000475</v>
          </cell>
          <cell r="E94" t="str">
            <v>E01, E02, E04, E03</v>
          </cell>
          <cell r="F94" t="str">
            <v>044186000475</v>
          </cell>
          <cell r="G94" t="b">
            <v>1</v>
          </cell>
          <cell r="H94" t="str">
            <v>06/03/2024 09:35:03</v>
          </cell>
          <cell r="I94" t="str">
            <v/>
          </cell>
          <cell r="J94" t="str">
            <v>image93.jpeg</v>
          </cell>
        </row>
        <row r="95">
          <cell r="B95" t="str">
            <v>Lê Thị Thùy Trang</v>
          </cell>
          <cell r="C95" t="str">
            <v>KTX046197007730</v>
          </cell>
          <cell r="D95" t="str">
            <v>046197007730</v>
          </cell>
          <cell r="E95" t="str">
            <v>C04, BA5, B04, E01, C01, D05, C05, C02, C06, C03, BA2, BA4, BA3, BA1, B03, D03, D02, D06, D04, B01, B02, B05, E02, E04, E03</v>
          </cell>
          <cell r="F95" t="str">
            <v>046197007730</v>
          </cell>
          <cell r="G95" t="b">
            <v>1</v>
          </cell>
          <cell r="H95" t="str">
            <v>28/03/2024 15:06:47</v>
          </cell>
          <cell r="I95" t="str">
            <v/>
          </cell>
          <cell r="J95" t="str">
            <v>image94.jpeg</v>
          </cell>
        </row>
        <row r="96">
          <cell r="B96" t="str">
            <v>Lê Trần Minh Tiến</v>
          </cell>
          <cell r="C96" t="str">
            <v>KTX074085009319</v>
          </cell>
          <cell r="D96" t="str">
            <v>074085009319</v>
          </cell>
          <cell r="E96" t="str">
            <v>E02, E03</v>
          </cell>
          <cell r="F96" t="str">
            <v>074085009319</v>
          </cell>
          <cell r="G96" t="b">
            <v>1</v>
          </cell>
          <cell r="H96" t="str">
            <v>06/03/2024 10:30:53</v>
          </cell>
          <cell r="I96" t="str">
            <v/>
          </cell>
          <cell r="J96" t="str">
            <v>image95.jpeg</v>
          </cell>
        </row>
        <row r="97">
          <cell r="B97" t="str">
            <v>Lê Văn Bảo</v>
          </cell>
          <cell r="C97" t="str">
            <v>KTX054075001371</v>
          </cell>
          <cell r="D97" t="str">
            <v>054075001371</v>
          </cell>
          <cell r="E97" t="str">
            <v>C04, BA5, B04, E01, C01, D05, C05, C02, C06, C03, BA2, BA4, BA3, BA1, B03, D03, D02, D06, D04, B01, B02, B05, E03, E02, E04</v>
          </cell>
          <cell r="F97" t="str">
            <v>054075001371</v>
          </cell>
          <cell r="G97" t="b">
            <v>1</v>
          </cell>
          <cell r="H97" t="str">
            <v>04/03/2024 11:07:12</v>
          </cell>
          <cell r="I97" t="str">
            <v/>
          </cell>
          <cell r="J97" t="str">
            <v>image96.jpeg</v>
          </cell>
        </row>
        <row r="98">
          <cell r="B98" t="str">
            <v>Lê Văn Khiêm</v>
          </cell>
          <cell r="C98" t="str">
            <v>KTX074089006925</v>
          </cell>
          <cell r="D98" t="str">
            <v>074089006925</v>
          </cell>
          <cell r="E98" t="str">
            <v>E03, E02</v>
          </cell>
          <cell r="F98" t="str">
            <v>074089006925</v>
          </cell>
          <cell r="G98" t="b">
            <v>1</v>
          </cell>
          <cell r="H98" t="str">
            <v>15/04/2025 09:54:56</v>
          </cell>
          <cell r="I98" t="str">
            <v/>
          </cell>
          <cell r="J98" t="str">
            <v>image97.jpeg</v>
          </cell>
        </row>
        <row r="99">
          <cell r="B99" t="str">
            <v>Lê Văn Nam</v>
          </cell>
          <cell r="C99" t="str">
            <v>KTX038088008045</v>
          </cell>
          <cell r="D99" t="str">
            <v>038088008045</v>
          </cell>
          <cell r="E99" t="str">
            <v>C04, C01, C05, C02, C06, C03, E02, E03</v>
          </cell>
          <cell r="F99" t="str">
            <v>038088008045</v>
          </cell>
          <cell r="G99" t="b">
            <v>1</v>
          </cell>
          <cell r="H99" t="str">
            <v>26/02/2024 10:50:22</v>
          </cell>
          <cell r="I99" t="str">
            <v/>
          </cell>
          <cell r="J99" t="str">
            <v>image98.jpeg</v>
          </cell>
        </row>
        <row r="100">
          <cell r="B100" t="str">
            <v>Lê Văn Phúc</v>
          </cell>
          <cell r="C100" t="str">
            <v>KTX052081016886</v>
          </cell>
          <cell r="D100" t="str">
            <v>052081016886</v>
          </cell>
          <cell r="E100" t="str">
            <v>B04, B03, B01, B02, B05, E03, E02</v>
          </cell>
          <cell r="F100" t="str">
            <v>052081016886</v>
          </cell>
          <cell r="G100" t="b">
            <v>1</v>
          </cell>
          <cell r="H100" t="str">
            <v>01/03/2024 14:43:22</v>
          </cell>
          <cell r="I100" t="str">
            <v/>
          </cell>
          <cell r="J100" t="str">
            <v>image99.jpeg</v>
          </cell>
        </row>
        <row r="101">
          <cell r="B101" t="str">
            <v>Lê Văn Tuyến</v>
          </cell>
          <cell r="C101" t="str">
            <v>KTX038092007043</v>
          </cell>
          <cell r="D101" t="str">
            <v>038092007043</v>
          </cell>
          <cell r="E101" t="str">
            <v>B04, B03, B01, B02, B05, E02, E03</v>
          </cell>
          <cell r="F101" t="str">
            <v>038092007043</v>
          </cell>
          <cell r="G101" t="b">
            <v>1</v>
          </cell>
          <cell r="H101" t="str">
            <v>01/03/2024 14:49:41</v>
          </cell>
          <cell r="I101" t="str">
            <v/>
          </cell>
          <cell r="J101" t="str">
            <v>image100.jpeg</v>
          </cell>
        </row>
        <row r="102">
          <cell r="B102" t="str">
            <v>Lê Xuân Ngọc</v>
          </cell>
          <cell r="C102" t="str">
            <v>KTX038075016438</v>
          </cell>
          <cell r="D102" t="str">
            <v>038075016438</v>
          </cell>
          <cell r="E102" t="str">
            <v>E03, E02</v>
          </cell>
          <cell r="F102" t="str">
            <v>038075016438</v>
          </cell>
          <cell r="G102" t="b">
            <v>1</v>
          </cell>
          <cell r="H102" t="str">
            <v>13/08/2024 16:26:18</v>
          </cell>
          <cell r="I102" t="str">
            <v/>
          </cell>
          <cell r="J102" t="str">
            <v>image101.jpeg</v>
          </cell>
        </row>
        <row r="103">
          <cell r="B103" t="str">
            <v>Lương Đăng Hiếu</v>
          </cell>
          <cell r="C103" t="str">
            <v>KTX056094006282</v>
          </cell>
          <cell r="D103" t="str">
            <v>056094006282</v>
          </cell>
          <cell r="E103" t="str">
            <v>E02, E03, B01, B02, B03, B04, B05, BA1, BA2, BA3, BA4, BA5, C01, C02, C03, C04, C05, C06, D02, D03, D04, D05, D06, E01, E04</v>
          </cell>
          <cell r="F103" t="str">
            <v>056094006282</v>
          </cell>
          <cell r="G103" t="b">
            <v>1</v>
          </cell>
          <cell r="H103" t="str">
            <v>23/02/2024 16:01:36</v>
          </cell>
          <cell r="I103" t="str">
            <v/>
          </cell>
          <cell r="J103" t="str">
            <v>image102.jpeg</v>
          </cell>
        </row>
        <row r="104">
          <cell r="B104" t="str">
            <v>Lương Thị Khánh Hiền</v>
          </cell>
          <cell r="C104" t="str">
            <v>KTX034199003972</v>
          </cell>
          <cell r="D104" t="str">
            <v>034199003972</v>
          </cell>
          <cell r="E104" t="str">
            <v>E02, E03</v>
          </cell>
          <cell r="F104" t="str">
            <v>034199003972</v>
          </cell>
          <cell r="G104" t="b">
            <v>1</v>
          </cell>
          <cell r="H104" t="str">
            <v>23/02/2024 14:57:46</v>
          </cell>
          <cell r="I104" t="str">
            <v/>
          </cell>
          <cell r="J104" t="str">
            <v>image103.jpeg</v>
          </cell>
        </row>
        <row r="105">
          <cell r="B105" t="str">
            <v>Lương Văn Liêm</v>
          </cell>
          <cell r="C105" t="str">
            <v>KTX075072005304</v>
          </cell>
          <cell r="D105" t="str">
            <v>075072005304</v>
          </cell>
          <cell r="E105" t="str">
            <v>E03, E02</v>
          </cell>
          <cell r="F105" t="str">
            <v>075072005304</v>
          </cell>
          <cell r="G105" t="b">
            <v>1</v>
          </cell>
          <cell r="H105" t="str">
            <v>15/04/2025 09:54:56</v>
          </cell>
          <cell r="I105" t="str">
            <v/>
          </cell>
          <cell r="J105" t="str">
            <v>image104.jpeg</v>
          </cell>
        </row>
        <row r="106">
          <cell r="B106" t="str">
            <v>Lưu Văn Đồng</v>
          </cell>
          <cell r="C106" t="str">
            <v>KTX089065000549</v>
          </cell>
          <cell r="D106" t="str">
            <v>089065000549</v>
          </cell>
          <cell r="E106" t="str">
            <v>C04, BA5, B04, E01, C01, D05, C05, C02, C06, C03, BA2, E02, BA4, BA3, BA1, B03, D03, D02, D06, D04, B01, B02, B05, E03, E04</v>
          </cell>
          <cell r="F106" t="str">
            <v>089065000549</v>
          </cell>
          <cell r="G106" t="b">
            <v>1</v>
          </cell>
          <cell r="H106" t="str">
            <v>04/03/2024 11:07:29</v>
          </cell>
          <cell r="I106" t="str">
            <v/>
          </cell>
          <cell r="J106" t="str">
            <v>image105.jpeg</v>
          </cell>
        </row>
        <row r="107">
          <cell r="B107" t="str">
            <v>Mạch Thị Oanh</v>
          </cell>
          <cell r="C107" t="str">
            <v>KTX038195009097</v>
          </cell>
          <cell r="D107" t="str">
            <v>038195009097</v>
          </cell>
          <cell r="E107" t="str">
            <v>E03, E02, B01, B02, B03, B04, B05, BA1, BA2, BA3, BA4, BA5, C01, C02, C03, C04, C05, C06, D02, D03, D04, D05, D06, E01, E04</v>
          </cell>
          <cell r="F107" t="str">
            <v>038195009097</v>
          </cell>
          <cell r="G107" t="b">
            <v>1</v>
          </cell>
          <cell r="H107" t="str">
            <v>23/02/2024 15:53:14</v>
          </cell>
          <cell r="I107" t="str">
            <v/>
          </cell>
          <cell r="J107" t="str">
            <v>image106.jpeg</v>
          </cell>
        </row>
        <row r="108">
          <cell r="B108" t="str">
            <v>Mai Trúc Đào</v>
          </cell>
          <cell r="C108" t="str">
            <v>KTX096302011766</v>
          </cell>
          <cell r="D108" t="str">
            <v>096302011766</v>
          </cell>
          <cell r="E108" t="str">
            <v>E03, E02</v>
          </cell>
          <cell r="F108" t="str">
            <v>096302011766</v>
          </cell>
          <cell r="G108" t="b">
            <v>1</v>
          </cell>
          <cell r="H108" t="str">
            <v>15/04/2025 09:24:16</v>
          </cell>
          <cell r="I108" t="str">
            <v/>
          </cell>
          <cell r="J108" t="str">
            <v>image107.jpeg</v>
          </cell>
        </row>
        <row r="109">
          <cell r="B109" t="str">
            <v>Nghiêm Văn Chiến</v>
          </cell>
          <cell r="C109" t="str">
            <v>KTX038067007731</v>
          </cell>
          <cell r="D109" t="str">
            <v>038067007731</v>
          </cell>
          <cell r="E109" t="str">
            <v>E02, E03</v>
          </cell>
          <cell r="F109" t="str">
            <v>038067007731</v>
          </cell>
          <cell r="G109" t="b">
            <v>1</v>
          </cell>
          <cell r="H109" t="str">
            <v>13/03/2024 13:40:12</v>
          </cell>
          <cell r="I109" t="str">
            <v/>
          </cell>
          <cell r="J109" t="str">
            <v>image108.jpeg</v>
          </cell>
        </row>
        <row r="110">
          <cell r="B110" t="str">
            <v>Ngô Hòa Bình</v>
          </cell>
          <cell r="C110" t="str">
            <v>KTX077090011354</v>
          </cell>
          <cell r="D110" t="str">
            <v>077090011354</v>
          </cell>
          <cell r="E110" t="str">
            <v>C04, BA5, B04, E01, C01, D05, C05, C02, C06, C03, BA2, BA4, BA3, BA1, B03, D03, D02, D06, D04, B01, B02, B05, E03, E02, E04</v>
          </cell>
          <cell r="F110" t="str">
            <v>077090011354</v>
          </cell>
          <cell r="G110" t="b">
            <v>1</v>
          </cell>
          <cell r="H110" t="str">
            <v>04/03/2024 11:16:21</v>
          </cell>
          <cell r="I110" t="str">
            <v/>
          </cell>
          <cell r="J110" t="str">
            <v>image109.jpeg</v>
          </cell>
        </row>
        <row r="111">
          <cell r="B111" t="str">
            <v>Ngô Hữu Nghị</v>
          </cell>
          <cell r="C111" t="str">
            <v>KTX083099011956</v>
          </cell>
          <cell r="D111" t="str">
            <v>083099011956</v>
          </cell>
          <cell r="E111" t="str">
            <v>E02, E03, B01, B02, B03, B04, B05, BA1, BA2, BA3, BA4, BA5, C01, C02, C03, C04, C05, C06, D02, D03, D04, D05, D06, E01, E04</v>
          </cell>
          <cell r="F111" t="str">
            <v>083099011956</v>
          </cell>
          <cell r="G111" t="b">
            <v>1</v>
          </cell>
          <cell r="H111" t="str">
            <v>23/02/2024 15:56:28</v>
          </cell>
          <cell r="I111" t="str">
            <v/>
          </cell>
          <cell r="J111" t="str">
            <v>image110.jpeg</v>
          </cell>
        </row>
        <row r="112">
          <cell r="B112" t="str">
            <v>Ngô Thị Mỹ Thạnh</v>
          </cell>
          <cell r="C112" t="str">
            <v>KTX048182000489</v>
          </cell>
          <cell r="D112" t="str">
            <v>048182000489</v>
          </cell>
          <cell r="E112" t="str">
            <v>C04, BA5, B04, E01, C01, D05, C05, C02, C06, C03, BA2, BA4, BA3, BA1, E02, B03, D03, D02, D06, D04, B01, B02, B05, E03, E04</v>
          </cell>
          <cell r="F112" t="str">
            <v>048182000489</v>
          </cell>
          <cell r="G112" t="b">
            <v>1</v>
          </cell>
          <cell r="H112" t="str">
            <v>29/02/2024 13:48:11</v>
          </cell>
          <cell r="I112" t="str">
            <v/>
          </cell>
          <cell r="J112" t="str">
            <v>image111.jpeg</v>
          </cell>
        </row>
        <row r="113">
          <cell r="B113" t="str">
            <v>Ngô Văn Hải</v>
          </cell>
          <cell r="C113" t="str">
            <v>KTX038064036430</v>
          </cell>
          <cell r="D113" t="str">
            <v>038064036430</v>
          </cell>
          <cell r="E113" t="str">
            <v>C04, BA5, B04, E01, C01, D05, C05, C02, C06, C03, BA2, BA4, BA3, BA1, B03, D03, D02, D06, D04, B01, B02, B05, E03, E02, E04</v>
          </cell>
          <cell r="F113" t="str">
            <v>038064036430</v>
          </cell>
          <cell r="G113" t="b">
            <v>1</v>
          </cell>
          <cell r="H113" t="str">
            <v>22/02/2024 16:45:40</v>
          </cell>
          <cell r="I113" t="str">
            <v/>
          </cell>
          <cell r="J113" t="str">
            <v>image112.jpeg</v>
          </cell>
        </row>
        <row r="114">
          <cell r="B114" t="str">
            <v>Nguyễn Bằng Hướng</v>
          </cell>
          <cell r="C114" t="str">
            <v>KTX040072007395</v>
          </cell>
          <cell r="D114" t="str">
            <v>040072007395</v>
          </cell>
          <cell r="E114" t="str">
            <v>C04, BA5, B04, E01, C01, D05, C05, C02, C06, C03, BA2, BA4, BA3, BA1, B03, D03, D02, D06, D04, B01, B02, B05, E03, E02, E04</v>
          </cell>
          <cell r="F114" t="str">
            <v>040072007395</v>
          </cell>
          <cell r="G114" t="b">
            <v>1</v>
          </cell>
          <cell r="H114" t="str">
            <v>04/03/2024 11:07:44</v>
          </cell>
          <cell r="I114" t="str">
            <v/>
          </cell>
          <cell r="J114" t="str">
            <v>image113.jpeg</v>
          </cell>
        </row>
        <row r="115">
          <cell r="B115" t="str">
            <v>Nguyễn Chí Hải</v>
          </cell>
          <cell r="C115" t="str">
            <v>KTX084096000111</v>
          </cell>
          <cell r="D115" t="str">
            <v>084096000111</v>
          </cell>
          <cell r="E115" t="str">
            <v>E02, E03, B01, B02, B03, B04, B05, BA1, BA2, BA3, BA4, BA5, C01, C02, C03, C04, C05, C06, D02, D03, D04, D05, D06, E01, E04</v>
          </cell>
          <cell r="F115" t="str">
            <v>084096000111</v>
          </cell>
          <cell r="G115" t="b">
            <v>1</v>
          </cell>
          <cell r="H115" t="str">
            <v>23/02/2024 15:56:43</v>
          </cell>
          <cell r="I115" t="str">
            <v/>
          </cell>
          <cell r="J115" t="str">
            <v>image114.jpeg</v>
          </cell>
        </row>
        <row r="116">
          <cell r="B116" t="str">
            <v>Nguyễn Công Bình</v>
          </cell>
          <cell r="C116" t="str">
            <v>KTX056091011131</v>
          </cell>
          <cell r="D116" t="str">
            <v>056091011131</v>
          </cell>
          <cell r="E116" t="str">
            <v>C04, BA5, B04, E01, C01, D05, C05, C02, C06, C03, BA2, BA4, BA3, BA1, B03, D03, D02, D06, D04, B01, B02, E04, B05, E03, E02</v>
          </cell>
          <cell r="F116" t="str">
            <v>056091011131</v>
          </cell>
          <cell r="G116" t="b">
            <v>1</v>
          </cell>
          <cell r="H116" t="str">
            <v>26/02/2024 13:27:51</v>
          </cell>
          <cell r="I116" t="str">
            <v/>
          </cell>
          <cell r="J116" t="str">
            <v>image115.jpeg</v>
          </cell>
        </row>
        <row r="117">
          <cell r="B117" t="str">
            <v>Nguyễn Công Trinh</v>
          </cell>
          <cell r="C117" t="str">
            <v>KTX046087019407</v>
          </cell>
          <cell r="D117" t="str">
            <v>046087019407</v>
          </cell>
          <cell r="E117" t="str">
            <v>E02, E03, BA1, BA2, BA3, BA4, BA5</v>
          </cell>
          <cell r="F117" t="str">
            <v>046087019407</v>
          </cell>
          <cell r="G117" t="b">
            <v>1</v>
          </cell>
          <cell r="H117" t="str">
            <v>13/03/2024 13:25:11</v>
          </cell>
          <cell r="I117" t="str">
            <v/>
          </cell>
          <cell r="J117" t="str">
            <v>image116.jpeg</v>
          </cell>
        </row>
        <row r="118">
          <cell r="B118" t="str">
            <v>Nguyễn Công Tường</v>
          </cell>
          <cell r="C118" t="str">
            <v>KTX046082030870</v>
          </cell>
          <cell r="D118" t="str">
            <v>046082030870</v>
          </cell>
          <cell r="E118" t="str">
            <v>E03, E02</v>
          </cell>
          <cell r="F118" t="str">
            <v>046082030870</v>
          </cell>
          <cell r="G118" t="b">
            <v>1</v>
          </cell>
          <cell r="H118" t="str">
            <v>22/02/2024 15:58:18</v>
          </cell>
          <cell r="I118" t="str">
            <v/>
          </cell>
          <cell r="J118" t="str">
            <v>image117.jpeg</v>
          </cell>
        </row>
        <row r="119">
          <cell r="B119" t="str">
            <v>Nguyễn Đắc Toản</v>
          </cell>
          <cell r="C119" t="str">
            <v>KTX030081013709</v>
          </cell>
          <cell r="D119" t="str">
            <v>030081013709</v>
          </cell>
          <cell r="E119" t="str">
            <v>E03, E02, B01, B02, B03, B04, B05, BA1, BA2, BA3, BA4, BA5, C01, C02, C03, C04, C05, C06, D02, D03, D04, D05, D06, E01, E04</v>
          </cell>
          <cell r="F119" t="str">
            <v>030081013709</v>
          </cell>
          <cell r="G119" t="b">
            <v>1</v>
          </cell>
          <cell r="H119" t="str">
            <v>06/05/2024 15:46:17</v>
          </cell>
          <cell r="I119" t="str">
            <v/>
          </cell>
          <cell r="J119" t="str">
            <v>image118.jpeg</v>
          </cell>
        </row>
        <row r="120">
          <cell r="B120" t="str">
            <v>Nguyễn Đặng Tú Oanh</v>
          </cell>
          <cell r="C120" t="str">
            <v>KTX056301008881</v>
          </cell>
          <cell r="D120" t="str">
            <v>056301008881</v>
          </cell>
          <cell r="E120" t="str">
            <v>E03, E02</v>
          </cell>
          <cell r="F120" t="str">
            <v>056301008881</v>
          </cell>
          <cell r="G120" t="b">
            <v>1</v>
          </cell>
          <cell r="H120" t="str">
            <v>18/07/2024 15:06:57</v>
          </cell>
          <cell r="I120" t="str">
            <v/>
          </cell>
          <cell r="J120" t="str">
            <v>image119.jpeg</v>
          </cell>
        </row>
        <row r="121">
          <cell r="B121" t="str">
            <v>Nguyễn Đình Đức</v>
          </cell>
          <cell r="C121" t="str">
            <v>KTX079095024301</v>
          </cell>
          <cell r="D121" t="str">
            <v>079095024301</v>
          </cell>
          <cell r="E121" t="str">
            <v>E03, E02, D02, D03, D04, D05, D06</v>
          </cell>
          <cell r="F121" t="str">
            <v>079095024301</v>
          </cell>
          <cell r="G121" t="b">
            <v>1</v>
          </cell>
          <cell r="H121" t="str">
            <v>29/05/2024 10:45:54</v>
          </cell>
          <cell r="I121" t="str">
            <v/>
          </cell>
          <cell r="J121" t="str">
            <v>image120.jpeg</v>
          </cell>
        </row>
        <row r="122">
          <cell r="B122" t="str">
            <v>Nguyễn Đình Tiến</v>
          </cell>
          <cell r="C122" t="str">
            <v>KTX038089053638</v>
          </cell>
          <cell r="D122" t="str">
            <v>038089053638</v>
          </cell>
          <cell r="E122" t="str">
            <v>C04, BA5, B04, E01, C01, D05, C05, C02, C06, C03, BA2, BA4, BA3, BA1, E04, B03, D03, D02, D06, D04, B01, B02, B05, E03, E02</v>
          </cell>
          <cell r="F122" t="str">
            <v>038089053638</v>
          </cell>
          <cell r="G122" t="b">
            <v>1</v>
          </cell>
          <cell r="H122" t="str">
            <v>28/03/2024 15:02:06</v>
          </cell>
          <cell r="I122" t="str">
            <v/>
          </cell>
          <cell r="J122" t="str">
            <v>image121.jpeg</v>
          </cell>
        </row>
        <row r="123">
          <cell r="B123" t="str">
            <v>Nguyễn Đức Chinh</v>
          </cell>
          <cell r="C123" t="str">
            <v>KTX070084007765</v>
          </cell>
          <cell r="D123" t="str">
            <v>070084007765</v>
          </cell>
          <cell r="E123" t="str">
            <v>E03, E02</v>
          </cell>
          <cell r="F123" t="str">
            <v>070084007765</v>
          </cell>
          <cell r="G123" t="b">
            <v>1</v>
          </cell>
          <cell r="H123" t="str">
            <v>10/04/2025 12:25:22</v>
          </cell>
          <cell r="I123" t="str">
            <v/>
          </cell>
          <cell r="J123" t="str">
            <v>image122.jpeg</v>
          </cell>
        </row>
        <row r="124">
          <cell r="B124" t="str">
            <v>Nguyễn Đức Chuyên</v>
          </cell>
          <cell r="C124" t="str">
            <v>KTX015073012028</v>
          </cell>
          <cell r="D124" t="str">
            <v>015073012028</v>
          </cell>
          <cell r="E124" t="str">
            <v>C04, C01, C05, C02, C06, C03, E02, E03</v>
          </cell>
          <cell r="F124" t="str">
            <v>015073012028</v>
          </cell>
          <cell r="G124" t="b">
            <v>1</v>
          </cell>
          <cell r="H124" t="str">
            <v>26/02/2024 10:52:09</v>
          </cell>
          <cell r="I124" t="str">
            <v/>
          </cell>
          <cell r="J124" t="str">
            <v>image123.jpeg</v>
          </cell>
        </row>
        <row r="125">
          <cell r="B125" t="str">
            <v>Nguyễn Duy Nguyên</v>
          </cell>
          <cell r="C125" t="str">
            <v>KTX074074007684</v>
          </cell>
          <cell r="D125" t="str">
            <v>074074007684</v>
          </cell>
          <cell r="E125" t="str">
            <v>E03, E02</v>
          </cell>
          <cell r="F125" t="str">
            <v>074074007684</v>
          </cell>
          <cell r="G125" t="b">
            <v>1</v>
          </cell>
          <cell r="H125" t="str">
            <v>15/04/2025 09:54:56</v>
          </cell>
          <cell r="I125" t="str">
            <v/>
          </cell>
          <cell r="J125" t="str">
            <v>image124.jpeg</v>
          </cell>
        </row>
        <row r="126">
          <cell r="B126" t="str">
            <v>Nguyễn Hoàng Bảo Trung</v>
          </cell>
          <cell r="C126" t="str">
            <v>KTX341527307</v>
          </cell>
          <cell r="D126" t="str">
            <v>21072233</v>
          </cell>
          <cell r="E126" t="str">
            <v>E03, E02, B01, B02, B03, B04, B05, BA1, BA2, BA3, BA4, BA5, C01, C02, C03, C04, C05, C06, D02, D03, D04, D05, D06, E01, E04</v>
          </cell>
          <cell r="F126" t="str">
            <v>00313542866782</v>
          </cell>
          <cell r="G126" t="b">
            <v>1</v>
          </cell>
          <cell r="H126" t="str">
            <v>02/02/2024 17:06:19</v>
          </cell>
          <cell r="I126" t="str">
            <v/>
          </cell>
          <cell r="J126" t="str">
            <v>image125.jpeg</v>
          </cell>
        </row>
        <row r="127">
          <cell r="B127" t="str">
            <v>Nguyễn Hồng Cường</v>
          </cell>
          <cell r="C127" t="str">
            <v>KTX040084037221</v>
          </cell>
          <cell r="D127" t="str">
            <v>040084037221</v>
          </cell>
          <cell r="E127" t="str">
            <v>C04, BA5, B04, E01, C01, D05, C05, C02, C06, C03, BA2, BA4, BA3, BA1, B03, D03, D02, D06, D04, B01, B02, B05, E02, E04, E03</v>
          </cell>
          <cell r="F127" t="str">
            <v>040084037221</v>
          </cell>
          <cell r="G127" t="b">
            <v>1</v>
          </cell>
          <cell r="H127" t="str">
            <v>28/03/2024 15:01:37</v>
          </cell>
          <cell r="I127" t="str">
            <v/>
          </cell>
          <cell r="J127" t="str">
            <v>image126.jpeg</v>
          </cell>
        </row>
        <row r="128">
          <cell r="B128" t="str">
            <v>Nguyễn Hồng Sơn</v>
          </cell>
          <cell r="C128" t="str">
            <v>KTX038071008499</v>
          </cell>
          <cell r="D128" t="str">
            <v>038071008499</v>
          </cell>
          <cell r="E128" t="str">
            <v>E02, E03</v>
          </cell>
          <cell r="F128" t="str">
            <v>038071008499</v>
          </cell>
          <cell r="G128" t="b">
            <v>1</v>
          </cell>
          <cell r="H128" t="str">
            <v>06/03/2024 09:45:24</v>
          </cell>
          <cell r="I128" t="str">
            <v/>
          </cell>
          <cell r="J128" t="str">
            <v>image127.jpeg</v>
          </cell>
        </row>
        <row r="129">
          <cell r="B129" t="str">
            <v>Nguyễn Hữu Hưng</v>
          </cell>
          <cell r="C129" t="str">
            <v>KTX040086000684</v>
          </cell>
          <cell r="D129" t="str">
            <v>040086000684</v>
          </cell>
          <cell r="E129" t="str">
            <v>C04, BA5, B04, E01, C01, D05, C05, C02, C06, C03, BA2, BA4, BA3, BA1, E02, B03, D03, D02, D06, D04, B01, B02, B05, E03, E04</v>
          </cell>
          <cell r="F129" t="str">
            <v>040086000684</v>
          </cell>
          <cell r="G129" t="b">
            <v>1</v>
          </cell>
          <cell r="H129" t="str">
            <v>04/03/2024 11:16:03</v>
          </cell>
          <cell r="I129" t="str">
            <v/>
          </cell>
          <cell r="J129" t="str">
            <v>image128.jpeg</v>
          </cell>
        </row>
        <row r="130">
          <cell r="B130" t="str">
            <v>Nguyễn Hữu Lân</v>
          </cell>
          <cell r="C130" t="str">
            <v>KTX052092020863</v>
          </cell>
          <cell r="D130" t="str">
            <v>052092020863</v>
          </cell>
          <cell r="E130" t="str">
            <v>B01, B02, B03, B04, B05, BA1, BA2, BA3, BA4, BA5, C01, C02, C03, C04, C05, C06, D02, D03, D04, D05, D06, E01, E04, E02, E03</v>
          </cell>
          <cell r="F130" t="str">
            <v>052092020863</v>
          </cell>
          <cell r="G130" t="b">
            <v>1</v>
          </cell>
          <cell r="H130" t="str">
            <v>09/05/2024 15:01:18</v>
          </cell>
          <cell r="I130" t="str">
            <v/>
          </cell>
          <cell r="J130" t="str">
            <v>image129.jpeg</v>
          </cell>
        </row>
        <row r="131">
          <cell r="B131" t="str">
            <v>Nguyễn Hữu Phú</v>
          </cell>
          <cell r="C131" t="str">
            <v>KTX079073007959</v>
          </cell>
          <cell r="D131" t="str">
            <v>079073007959</v>
          </cell>
          <cell r="E131" t="str">
            <v>E03, E02</v>
          </cell>
          <cell r="F131" t="str">
            <v>079073007959</v>
          </cell>
          <cell r="G131" t="b">
            <v>1</v>
          </cell>
          <cell r="H131" t="str">
            <v>15/04/2025 09:54:56</v>
          </cell>
          <cell r="I131" t="str">
            <v/>
          </cell>
          <cell r="J131" t="str">
            <v>image130.jpeg</v>
          </cell>
        </row>
        <row r="132">
          <cell r="B132" t="str">
            <v>Nguyễn Hữu Thức</v>
          </cell>
          <cell r="C132" t="str">
            <v>KTX038072047804</v>
          </cell>
          <cell r="D132" t="str">
            <v>038072047804</v>
          </cell>
          <cell r="E132" t="str">
            <v>C04, BA5, B04, E01, C01, D05, C05, C02, C06, C03, BA2, BA4, BA3, BA1, B03, D03, D02, D06, D04, B01, B02, B05, E03, E02, E04</v>
          </cell>
          <cell r="F132" t="str">
            <v>038072047804</v>
          </cell>
          <cell r="G132" t="b">
            <v>1</v>
          </cell>
          <cell r="H132" t="str">
            <v>04/03/2024 11:08:21</v>
          </cell>
          <cell r="I132" t="str">
            <v/>
          </cell>
          <cell r="J132" t="str">
            <v>image131.jpeg</v>
          </cell>
        </row>
        <row r="133">
          <cell r="B133" t="str">
            <v>Nguyễn Hữu Thủy</v>
          </cell>
          <cell r="C133" t="str">
            <v>KTX038071023484</v>
          </cell>
          <cell r="D133" t="str">
            <v>038071023484</v>
          </cell>
          <cell r="E133" t="str">
            <v>B04, B03, B01, B02, B05, E03, E02</v>
          </cell>
          <cell r="F133" t="str">
            <v>038071023484</v>
          </cell>
          <cell r="G133" t="b">
            <v>1</v>
          </cell>
          <cell r="H133" t="str">
            <v>01/03/2024 14:49:05</v>
          </cell>
          <cell r="I133" t="str">
            <v/>
          </cell>
          <cell r="J133" t="str">
            <v>image132.jpeg</v>
          </cell>
        </row>
        <row r="134">
          <cell r="B134" t="str">
            <v>Nguyễn Huy Hải</v>
          </cell>
          <cell r="C134" t="str">
            <v>KTX042084004 624</v>
          </cell>
          <cell r="D134" t="str">
            <v>042084004624</v>
          </cell>
          <cell r="E134" t="str">
            <v>E03, E02</v>
          </cell>
          <cell r="F134" t="str">
            <v>042084004624</v>
          </cell>
          <cell r="G134" t="b">
            <v>1</v>
          </cell>
          <cell r="H134" t="str">
            <v>15/04/2025 09:45:46</v>
          </cell>
          <cell r="I134" t="str">
            <v/>
          </cell>
          <cell r="J134" t="str">
            <v>image133.jpeg</v>
          </cell>
        </row>
        <row r="135">
          <cell r="B135" t="str">
            <v>Nguyễn Khánh Hiệp</v>
          </cell>
          <cell r="C135" t="str">
            <v>KTX079086027637</v>
          </cell>
          <cell r="D135" t="str">
            <v>079086027637</v>
          </cell>
          <cell r="E135" t="str">
            <v>C04, BA5, B04, E01, C01, D05, C05, C02, C06, C03, BA2, BA4, BA3, BA1, B03, D03, D02, E04, D06, D04, B01, B02, B05, E03, E02</v>
          </cell>
          <cell r="F135" t="str">
            <v>079086027637</v>
          </cell>
          <cell r="G135" t="b">
            <v>1</v>
          </cell>
          <cell r="H135" t="str">
            <v>23/02/2024 15:52:28</v>
          </cell>
          <cell r="I135" t="str">
            <v/>
          </cell>
          <cell r="J135" t="str">
            <v>image134.jpeg</v>
          </cell>
        </row>
        <row r="136">
          <cell r="B136" t="str">
            <v>Nguyễn Long Hoàng</v>
          </cell>
          <cell r="C136" t="str">
            <v>KTX079066028207</v>
          </cell>
          <cell r="D136" t="str">
            <v>079066028207</v>
          </cell>
          <cell r="E136" t="str">
            <v>C04, BA5, B04, E01, C01, D05, C05, C02, C06, C03, BA2, BA4, BA3, BA1, B03, D03, D02, D06, D04, B01, B02, B05, E02, E04, E03</v>
          </cell>
          <cell r="F136" t="str">
            <v>079066028207</v>
          </cell>
          <cell r="G136" t="b">
            <v>1</v>
          </cell>
          <cell r="H136" t="str">
            <v>23/02/2024 16:02:57</v>
          </cell>
          <cell r="I136" t="str">
            <v/>
          </cell>
          <cell r="J136" t="str">
            <v>image135.jpeg</v>
          </cell>
        </row>
        <row r="137">
          <cell r="B137" t="str">
            <v>Nguyễn Mạnh Thắng</v>
          </cell>
          <cell r="C137" t="str">
            <v>KTX025075017133</v>
          </cell>
          <cell r="D137" t="str">
            <v>025075017133</v>
          </cell>
          <cell r="E137" t="str">
            <v>E02, E03</v>
          </cell>
          <cell r="F137" t="str">
            <v>025075017133</v>
          </cell>
          <cell r="G137" t="b">
            <v>1</v>
          </cell>
          <cell r="H137" t="str">
            <v>23/02/2024 16:03:56</v>
          </cell>
          <cell r="I137" t="str">
            <v/>
          </cell>
          <cell r="J137" t="str">
            <v>image136.jpeg</v>
          </cell>
        </row>
        <row r="138">
          <cell r="B138" t="str">
            <v>Nguyễn Minh Nhật</v>
          </cell>
          <cell r="C138" t="str">
            <v>KTX068082008364</v>
          </cell>
          <cell r="D138" t="str">
            <v>068082008364</v>
          </cell>
          <cell r="E138" t="str">
            <v>E03, E02</v>
          </cell>
          <cell r="F138" t="str">
            <v>068082008364</v>
          </cell>
          <cell r="G138" t="b">
            <v>1</v>
          </cell>
          <cell r="H138" t="str">
            <v>15/04/2025 09:54:56</v>
          </cell>
          <cell r="I138" t="str">
            <v/>
          </cell>
          <cell r="J138" t="str">
            <v>image137.jpeg</v>
          </cell>
        </row>
        <row r="139">
          <cell r="B139" t="str">
            <v>Nguyễn Ngọc Quỳnh</v>
          </cell>
          <cell r="C139" t="str">
            <v>KTX034067000051</v>
          </cell>
          <cell r="D139" t="str">
            <v>034067000051</v>
          </cell>
          <cell r="E139" t="str">
            <v>E03, E02</v>
          </cell>
          <cell r="F139" t="str">
            <v>034067000051</v>
          </cell>
          <cell r="G139" t="b">
            <v>1</v>
          </cell>
          <cell r="H139" t="str">
            <v>15/04/2025 09:54:56</v>
          </cell>
          <cell r="I139" t="str">
            <v/>
          </cell>
          <cell r="J139" t="str">
            <v>image138.jpeg</v>
          </cell>
        </row>
        <row r="140">
          <cell r="B140" t="str">
            <v>Nguyễn Ngọc Thành</v>
          </cell>
          <cell r="C140" t="str">
            <v>KTX038087024492</v>
          </cell>
          <cell r="D140" t="str">
            <v>038087024492</v>
          </cell>
          <cell r="E140" t="str">
            <v>E03, E02, B01, B02, B03, B04, B05, BA1, BA2, BA3, BA4, BA5, C01, C02, C03, C04, C05, C06, D02, D03, D04, D05, D06, E01, E04</v>
          </cell>
          <cell r="F140" t="str">
            <v>038087024492</v>
          </cell>
          <cell r="G140" t="b">
            <v>1</v>
          </cell>
          <cell r="H140" t="str">
            <v>24/02/2025 14:03:00</v>
          </cell>
          <cell r="I140" t="str">
            <v/>
          </cell>
          <cell r="J140" t="str">
            <v>image139.jpeg</v>
          </cell>
        </row>
        <row r="141">
          <cell r="B141" t="str">
            <v>Nguyễn Nhật Hào</v>
          </cell>
          <cell r="C141" t="str">
            <v>KTX094201009565</v>
          </cell>
          <cell r="D141" t="str">
            <v>094201009565</v>
          </cell>
          <cell r="E141" t="str">
            <v>C04, BA5, B04, E01, C01, D05, C05, C02, C06, C03, BA2, BA4, BA3, BA1, B03, D03, D02, D06, D04, B01, B02, B05, E03, E02, E04</v>
          </cell>
          <cell r="F141" t="str">
            <v>094201009565</v>
          </cell>
          <cell r="G141" t="b">
            <v>1</v>
          </cell>
          <cell r="H141" t="str">
            <v>04/03/2024 11:15:35</v>
          </cell>
          <cell r="I141" t="str">
            <v/>
          </cell>
          <cell r="J141" t="str">
            <v>image140.jpeg</v>
          </cell>
        </row>
        <row r="142">
          <cell r="B142" t="str">
            <v>Nguyễn Nhật Tân</v>
          </cell>
          <cell r="C142" t="str">
            <v>KTX075200003513</v>
          </cell>
          <cell r="D142" t="str">
            <v>075200003513</v>
          </cell>
          <cell r="E142" t="str">
            <v>C04, BA5, B04, E01, C01, D05, C05, C02, C06, C03, BA2, BA4, BA3, BA1, B03, D03, D02, D06, D04, B01, B02, B05, E03, E02, E04</v>
          </cell>
          <cell r="F142" t="str">
            <v>075200003513</v>
          </cell>
          <cell r="G142" t="b">
            <v>1</v>
          </cell>
          <cell r="H142" t="str">
            <v>29/02/2024 13:47:59</v>
          </cell>
          <cell r="I142" t="str">
            <v/>
          </cell>
          <cell r="J142" t="str">
            <v>image141.jpeg</v>
          </cell>
        </row>
        <row r="143">
          <cell r="B143" t="str">
            <v>Nguyễn Phú Vinh</v>
          </cell>
          <cell r="C143" t="str">
            <v>KTX058066003991</v>
          </cell>
          <cell r="D143" t="str">
            <v>058066003991</v>
          </cell>
          <cell r="E143" t="str">
            <v>E02, E03</v>
          </cell>
          <cell r="F143" t="str">
            <v>058066003991</v>
          </cell>
          <cell r="G143" t="b">
            <v>1</v>
          </cell>
          <cell r="H143" t="str">
            <v>06/03/2024 09:43:50</v>
          </cell>
          <cell r="I143" t="str">
            <v/>
          </cell>
          <cell r="J143" t="str">
            <v>image142.jpeg</v>
          </cell>
        </row>
        <row r="144">
          <cell r="B144" t="str">
            <v>Nguyễn Quang Luật</v>
          </cell>
          <cell r="C144" t="str">
            <v>KTX083090012439</v>
          </cell>
          <cell r="D144" t="str">
            <v>083090012439</v>
          </cell>
          <cell r="E144" t="str">
            <v>C04, BA5, B04, E01, C01, D05, C05, C02, C06, C03, BA2, BA4, BA3, BA1, B03, D03, D02, D06, D04, B01, B02, B05, E03, E02, E04</v>
          </cell>
          <cell r="F144" t="str">
            <v>083090012439</v>
          </cell>
          <cell r="G144" t="b">
            <v>1</v>
          </cell>
          <cell r="H144" t="str">
            <v>29/02/2024 13:46:54</v>
          </cell>
          <cell r="I144" t="str">
            <v/>
          </cell>
          <cell r="J144" t="str">
            <v>image143.jpeg</v>
          </cell>
        </row>
        <row r="145">
          <cell r="B145" t="str">
            <v>Nguyễn Quốc Hải</v>
          </cell>
          <cell r="C145" t="str">
            <v>KTX066092017620</v>
          </cell>
          <cell r="D145" t="str">
            <v>066092017620</v>
          </cell>
          <cell r="E145" t="str">
            <v>C04, BA5, B04, E01, C01, D05, C05, C02, C06, C03, BA2, BA4, BA3, BA1, B03, D03, D02, D06, D04, B01, B02, B05, E04, E03, E02</v>
          </cell>
          <cell r="F145" t="str">
            <v>066092017620</v>
          </cell>
          <cell r="G145" t="b">
            <v>1</v>
          </cell>
          <cell r="H145" t="str">
            <v>23/02/2024 16:02:44</v>
          </cell>
          <cell r="I145" t="str">
            <v/>
          </cell>
          <cell r="J145" t="str">
            <v>image144.jpeg</v>
          </cell>
        </row>
        <row r="146">
          <cell r="B146" t="str">
            <v>Nguyễn Tấn Đại</v>
          </cell>
          <cell r="C146" t="str">
            <v>KTX074088007548</v>
          </cell>
          <cell r="D146" t="str">
            <v>074088007548</v>
          </cell>
          <cell r="E146" t="str">
            <v>E03, E02</v>
          </cell>
          <cell r="F146" t="str">
            <v>074088007548</v>
          </cell>
          <cell r="G146" t="b">
            <v>1</v>
          </cell>
          <cell r="H146" t="str">
            <v>15/04/2025 09:54:56</v>
          </cell>
          <cell r="I146" t="str">
            <v/>
          </cell>
          <cell r="J146" t="str">
            <v>image145.jpeg</v>
          </cell>
        </row>
        <row r="147">
          <cell r="B147" t="str">
            <v>Nguyễn Tấn Điệp</v>
          </cell>
          <cell r="C147" t="str">
            <v>KTX052081017316</v>
          </cell>
          <cell r="D147" t="str">
            <v>052081017316</v>
          </cell>
          <cell r="E147" t="str">
            <v>E01, E03, E02, E04</v>
          </cell>
          <cell r="F147" t="str">
            <v>052081017316</v>
          </cell>
          <cell r="G147" t="b">
            <v>1</v>
          </cell>
          <cell r="H147" t="str">
            <v>06/03/2024 09:33:02</v>
          </cell>
          <cell r="I147" t="str">
            <v/>
          </cell>
          <cell r="J147" t="str">
            <v>image146.jpeg</v>
          </cell>
        </row>
        <row r="148">
          <cell r="B148" t="str">
            <v>Nguyễn Tấn Phước</v>
          </cell>
          <cell r="C148" t="str">
            <v>KTX074086006518</v>
          </cell>
          <cell r="D148" t="str">
            <v>074086006518</v>
          </cell>
          <cell r="E148" t="str">
            <v>BA5, BA2, BA4, BA3, BA1, E03, E02</v>
          </cell>
          <cell r="F148" t="str">
            <v>074086006518</v>
          </cell>
          <cell r="G148" t="b">
            <v>1</v>
          </cell>
          <cell r="H148" t="str">
            <v>22/02/2024 15:53:52</v>
          </cell>
          <cell r="I148" t="str">
            <v/>
          </cell>
          <cell r="J148" t="str">
            <v>image147.jpeg</v>
          </cell>
        </row>
        <row r="149">
          <cell r="B149" t="str">
            <v>Nguyễn Thanh Ngọc</v>
          </cell>
          <cell r="C149" t="str">
            <v>KTX042088013907</v>
          </cell>
          <cell r="D149" t="str">
            <v>042088013907</v>
          </cell>
          <cell r="E149" t="str">
            <v>E03, E02</v>
          </cell>
          <cell r="F149" t="str">
            <v>042088013907</v>
          </cell>
          <cell r="G149" t="b">
            <v>1</v>
          </cell>
          <cell r="H149" t="str">
            <v>15/04/2025 09:24:16</v>
          </cell>
          <cell r="I149" t="str">
            <v/>
          </cell>
          <cell r="J149" t="str">
            <v>image148.jpeg</v>
          </cell>
        </row>
        <row r="150">
          <cell r="B150" t="str">
            <v>Nguyễn Thanh Phúc</v>
          </cell>
          <cell r="C150" t="str">
            <v>KTX079089035477</v>
          </cell>
          <cell r="D150" t="str">
            <v>079089035477</v>
          </cell>
          <cell r="E150" t="str">
            <v>E03, E02</v>
          </cell>
          <cell r="F150" t="str">
            <v>079089035477</v>
          </cell>
          <cell r="G150" t="b">
            <v>1</v>
          </cell>
          <cell r="H150" t="str">
            <v>22/02/2024 16:05:17</v>
          </cell>
          <cell r="I150" t="str">
            <v/>
          </cell>
          <cell r="J150" t="str">
            <v>image149.jpeg</v>
          </cell>
        </row>
        <row r="151">
          <cell r="B151" t="str">
            <v>Nguyễn Thanh Sơn</v>
          </cell>
          <cell r="C151" t="str">
            <v>KTX079095000920</v>
          </cell>
          <cell r="D151" t="str">
            <v>079095000920</v>
          </cell>
          <cell r="E151" t="str">
            <v>C04, BA5, B04, E01, C01, D05, C05, C02, C06, C03, BA2, BA4, BA3, BA1, B03, D03, D02, D06, D04, B01, B02, B05, E03, E02, E04</v>
          </cell>
          <cell r="F151" t="str">
            <v>079095000920</v>
          </cell>
          <cell r="G151" t="b">
            <v>1</v>
          </cell>
          <cell r="H151" t="str">
            <v>04/03/2024 11:10:35</v>
          </cell>
          <cell r="I151" t="str">
            <v/>
          </cell>
          <cell r="J151" t="str">
            <v>image150.jpeg</v>
          </cell>
        </row>
        <row r="152">
          <cell r="B152" t="str">
            <v>Nguyễn Thanh Thạch</v>
          </cell>
          <cell r="C152" t="str">
            <v>KTX052092005574</v>
          </cell>
          <cell r="D152" t="str">
            <v>052092005574</v>
          </cell>
          <cell r="E152" t="str">
            <v>E03, E02</v>
          </cell>
          <cell r="F152" t="str">
            <v>052092005574</v>
          </cell>
          <cell r="G152" t="b">
            <v>1</v>
          </cell>
          <cell r="H152" t="str">
            <v>16/07/2024 16:26:46</v>
          </cell>
          <cell r="I152" t="str">
            <v/>
          </cell>
          <cell r="J152" t="str">
            <v>image151.jpeg</v>
          </cell>
        </row>
        <row r="153">
          <cell r="B153" t="str">
            <v>Nguyễn Thanh Thảo</v>
          </cell>
          <cell r="C153" t="str">
            <v>KTX094199004038</v>
          </cell>
          <cell r="D153" t="str">
            <v>094199004038</v>
          </cell>
          <cell r="E153" t="str">
            <v>E03, E02</v>
          </cell>
          <cell r="F153" t="str">
            <v>094199004038</v>
          </cell>
          <cell r="G153" t="b">
            <v>1</v>
          </cell>
          <cell r="H153" t="str">
            <v>22/02/2024 16:03:40</v>
          </cell>
          <cell r="I153" t="str">
            <v/>
          </cell>
          <cell r="J153" t="str">
            <v>image152.jpeg</v>
          </cell>
        </row>
        <row r="154">
          <cell r="B154" t="str">
            <v>Nguyễn Thành Tiền</v>
          </cell>
          <cell r="C154" t="str">
            <v>KTX074081008029</v>
          </cell>
          <cell r="D154" t="str">
            <v>074081008029</v>
          </cell>
          <cell r="E154" t="str">
            <v>E03, E02</v>
          </cell>
          <cell r="F154" t="str">
            <v>074081008029</v>
          </cell>
          <cell r="G154" t="b">
            <v>1</v>
          </cell>
          <cell r="H154" t="str">
            <v>15/04/2025 09:45:46</v>
          </cell>
          <cell r="I154" t="str">
            <v/>
          </cell>
          <cell r="J154" t="str">
            <v>image153.jpeg</v>
          </cell>
        </row>
        <row r="155">
          <cell r="B155" t="str">
            <v>Nguyễn Thanh Tùy</v>
          </cell>
          <cell r="C155" t="str">
            <v>KTX046085003019</v>
          </cell>
          <cell r="D155" t="str">
            <v>046085003019</v>
          </cell>
          <cell r="E155" t="str">
            <v>E03, E02, E04</v>
          </cell>
          <cell r="F155" t="str">
            <v>046085003019</v>
          </cell>
          <cell r="G155" t="b">
            <v>1</v>
          </cell>
          <cell r="H155" t="str">
            <v>22/02/2024 16:00:20</v>
          </cell>
          <cell r="I155" t="str">
            <v/>
          </cell>
          <cell r="J155" t="str">
            <v>image154.jpeg</v>
          </cell>
        </row>
        <row r="156">
          <cell r="B156" t="str">
            <v>Nguyễn Thị Ánh Tuyết</v>
          </cell>
          <cell r="C156" t="str">
            <v>KTX052165010940</v>
          </cell>
          <cell r="D156" t="str">
            <v>052165010940</v>
          </cell>
          <cell r="E156" t="str">
            <v>C04, BA5, B04, E01, C01, D05, C05, C02, C06, C03, BA2, BA4, BA3, BA1, E02, B03, D03, D02, D06, D04, B01, B02, B05, E03, E04</v>
          </cell>
          <cell r="F156" t="str">
            <v>052165010940</v>
          </cell>
          <cell r="G156" t="b">
            <v>1</v>
          </cell>
          <cell r="H156" t="str">
            <v>29/02/2024 14:24:26</v>
          </cell>
          <cell r="I156" t="str">
            <v/>
          </cell>
          <cell r="J156" t="str">
            <v>image155.jpeg</v>
          </cell>
        </row>
        <row r="157">
          <cell r="B157" t="str">
            <v>Nguyễn Thị Châu</v>
          </cell>
          <cell r="C157" t="str">
            <v>KTX040300019540</v>
          </cell>
          <cell r="D157" t="str">
            <v>040300019540</v>
          </cell>
          <cell r="E157" t="str">
            <v>B04, B03, B01, B02, B05, E03, E02</v>
          </cell>
          <cell r="F157" t="str">
            <v>040300019540</v>
          </cell>
          <cell r="G157" t="b">
            <v>1</v>
          </cell>
          <cell r="H157" t="str">
            <v>23/07/2024 16:35:42</v>
          </cell>
          <cell r="I157" t="str">
            <v/>
          </cell>
          <cell r="J157" t="str">
            <v>image156.jpeg</v>
          </cell>
        </row>
        <row r="158">
          <cell r="B158" t="str">
            <v>Nguyễn Thị Hằng</v>
          </cell>
          <cell r="C158" t="str">
            <v>KTX036176014814</v>
          </cell>
          <cell r="D158" t="str">
            <v>036176014814</v>
          </cell>
          <cell r="E158" t="str">
            <v>E02, E03</v>
          </cell>
          <cell r="F158" t="str">
            <v>036176014814</v>
          </cell>
          <cell r="G158" t="b">
            <v>1</v>
          </cell>
          <cell r="H158" t="str">
            <v>23/02/2024 14:54:13</v>
          </cell>
          <cell r="I158" t="str">
            <v/>
          </cell>
          <cell r="J158" t="str">
            <v>image157.jpeg</v>
          </cell>
        </row>
        <row r="159">
          <cell r="B159" t="str">
            <v>Nguyễn Thị Hạnh</v>
          </cell>
          <cell r="C159" t="str">
            <v>KTX042185005773</v>
          </cell>
          <cell r="D159" t="str">
            <v>042185005773</v>
          </cell>
          <cell r="E159" t="str">
            <v>C04, BA5, B04, E01, C01, D05, C05, C02, C06, C03, BA2, BA4, BA3, BA1, B03, D03, D02, D06, D04, B01, B02, B05, E03, E02, E04</v>
          </cell>
          <cell r="F159" t="str">
            <v>042185005773</v>
          </cell>
          <cell r="G159" t="b">
            <v>1</v>
          </cell>
          <cell r="H159" t="str">
            <v>04/03/2024 11:03:52</v>
          </cell>
          <cell r="I159" t="str">
            <v/>
          </cell>
          <cell r="J159" t="str">
            <v>image158.jpeg</v>
          </cell>
        </row>
        <row r="160">
          <cell r="B160" t="str">
            <v>Nguyễn Thị Hoài</v>
          </cell>
          <cell r="C160" t="str">
            <v>KTX040175029487</v>
          </cell>
          <cell r="D160" t="str">
            <v>040175029487</v>
          </cell>
          <cell r="E160" t="str">
            <v>E03, E02</v>
          </cell>
          <cell r="F160" t="str">
            <v>040175029487</v>
          </cell>
          <cell r="G160" t="b">
            <v>1</v>
          </cell>
          <cell r="H160" t="str">
            <v>22/02/2024 16:02:07</v>
          </cell>
          <cell r="I160" t="str">
            <v/>
          </cell>
          <cell r="J160" t="str">
            <v>image159.jpeg</v>
          </cell>
        </row>
        <row r="161">
          <cell r="B161" t="str">
            <v>Nguyễn Thị Hương</v>
          </cell>
          <cell r="C161" t="str">
            <v>KTX038189036324</v>
          </cell>
          <cell r="D161" t="str">
            <v>038189036324</v>
          </cell>
          <cell r="E161" t="str">
            <v>BA5, BA2, BA4, BA3, BA1, E02, E03</v>
          </cell>
          <cell r="F161" t="str">
            <v>038189036324</v>
          </cell>
          <cell r="G161" t="b">
            <v>1</v>
          </cell>
          <cell r="H161" t="str">
            <v>22/02/2024 15:52:07</v>
          </cell>
          <cell r="I161" t="str">
            <v/>
          </cell>
          <cell r="J161" t="str">
            <v>image160.jpeg</v>
          </cell>
        </row>
        <row r="162">
          <cell r="B162" t="str">
            <v>Nguyễn Thị Huyền</v>
          </cell>
          <cell r="C162" t="str">
            <v>KTX006187001129</v>
          </cell>
          <cell r="D162" t="str">
            <v>006187001129</v>
          </cell>
          <cell r="E162" t="str">
            <v>BA1, BA2, BA3, BA4, BA5, E02, E03</v>
          </cell>
          <cell r="F162" t="str">
            <v>006187001129</v>
          </cell>
          <cell r="G162" t="b">
            <v>1</v>
          </cell>
          <cell r="H162" t="str">
            <v>26/02/2024 10:51:15</v>
          </cell>
          <cell r="I162" t="str">
            <v/>
          </cell>
          <cell r="J162" t="str">
            <v>image161.jpeg</v>
          </cell>
        </row>
        <row r="163">
          <cell r="B163" t="str">
            <v>Nguyễn Thị Kiều My</v>
          </cell>
          <cell r="C163" t="str">
            <v>KTX049195012354</v>
          </cell>
          <cell r="D163" t="str">
            <v>049195012354</v>
          </cell>
          <cell r="E163" t="str">
            <v>E01, E04, E03, E02</v>
          </cell>
          <cell r="F163" t="str">
            <v>049195012354</v>
          </cell>
          <cell r="G163" t="b">
            <v>1</v>
          </cell>
          <cell r="H163" t="str">
            <v>30/07/2024 15:49:05</v>
          </cell>
          <cell r="I163" t="str">
            <v/>
          </cell>
          <cell r="J163" t="str">
            <v>image162.jpeg</v>
          </cell>
        </row>
        <row r="164">
          <cell r="B164" t="str">
            <v>Nguyễn Thị Kim Thương</v>
          </cell>
          <cell r="C164" t="str">
            <v>KTX062190000437</v>
          </cell>
          <cell r="D164" t="str">
            <v>062190000437</v>
          </cell>
          <cell r="E164" t="str">
            <v>E03, E02</v>
          </cell>
          <cell r="F164" t="str">
            <v>062190000437</v>
          </cell>
          <cell r="G164" t="b">
            <v>1</v>
          </cell>
          <cell r="H164" t="str">
            <v>16/04/2025 10:35:31</v>
          </cell>
          <cell r="I164" t="str">
            <v/>
          </cell>
          <cell r="J164" t="str">
            <v>image163.jpeg</v>
          </cell>
        </row>
        <row r="165">
          <cell r="B165" t="str">
            <v>Nguyễn Thị Lệ Thủy</v>
          </cell>
          <cell r="C165" t="str">
            <v>KTX036181023469</v>
          </cell>
          <cell r="D165" t="str">
            <v>036181023469</v>
          </cell>
          <cell r="E165" t="str">
            <v>E03, E02</v>
          </cell>
          <cell r="F165" t="str">
            <v>036181023469</v>
          </cell>
          <cell r="G165" t="b">
            <v>1</v>
          </cell>
          <cell r="H165" t="str">
            <v>16/04/2025 10:35:31</v>
          </cell>
          <cell r="I165" t="str">
            <v/>
          </cell>
          <cell r="J165" t="str">
            <v>image164.jpeg</v>
          </cell>
        </row>
        <row r="166">
          <cell r="B166" t="str">
            <v>Nguyễn Thị Ngọc Trâm</v>
          </cell>
          <cell r="C166" t="str">
            <v>KTX062198003387</v>
          </cell>
          <cell r="D166" t="str">
            <v>062198003387</v>
          </cell>
          <cell r="E166" t="str">
            <v>E03, E02</v>
          </cell>
          <cell r="F166" t="str">
            <v>062198003387</v>
          </cell>
          <cell r="G166" t="b">
            <v>1</v>
          </cell>
          <cell r="H166" t="str">
            <v>22/02/2024 16:04:33</v>
          </cell>
          <cell r="I166" t="str">
            <v/>
          </cell>
          <cell r="J166" t="str">
            <v>image165.jpeg</v>
          </cell>
        </row>
        <row r="167">
          <cell r="B167" t="str">
            <v>Nguyễn Thị Như Nữ</v>
          </cell>
          <cell r="C167" t="str">
            <v>KTX051193013179</v>
          </cell>
          <cell r="D167" t="str">
            <v>051193013179</v>
          </cell>
          <cell r="E167" t="str">
            <v>E02, E03</v>
          </cell>
          <cell r="F167" t="str">
            <v>051193013179</v>
          </cell>
          <cell r="G167" t="b">
            <v>1</v>
          </cell>
          <cell r="H167" t="str">
            <v>23/02/2024 15:53:48</v>
          </cell>
          <cell r="I167" t="str">
            <v/>
          </cell>
          <cell r="J167" t="str">
            <v>image166.jpeg</v>
          </cell>
        </row>
        <row r="168">
          <cell r="B168" t="str">
            <v>Nguyễn Thị Sil</v>
          </cell>
          <cell r="C168" t="str">
            <v>KTX084167011407</v>
          </cell>
          <cell r="D168" t="str">
            <v>084167011407</v>
          </cell>
          <cell r="E168" t="str">
            <v>E03, E02</v>
          </cell>
          <cell r="F168" t="str">
            <v>084167011407</v>
          </cell>
          <cell r="G168" t="b">
            <v>1</v>
          </cell>
          <cell r="H168" t="str">
            <v>15/04/2025 09:45:46</v>
          </cell>
          <cell r="I168" t="str">
            <v/>
          </cell>
          <cell r="J168" t="str">
            <v>image167.jpeg</v>
          </cell>
        </row>
        <row r="169">
          <cell r="B169" t="str">
            <v>Nguyễn Thị Tâm</v>
          </cell>
          <cell r="C169" t="str">
            <v>KTX042185016648</v>
          </cell>
          <cell r="D169" t="str">
            <v>042185016648</v>
          </cell>
          <cell r="E169" t="str">
            <v>C04, BA5, B04, E01, C01, D05, C05, C02, C06, C03, BA2, BA4, BA3, BA1, B03, D03, D02, D06, D04, B01, B02, B05, E04, E03, E02</v>
          </cell>
          <cell r="F169" t="str">
            <v>042185016648</v>
          </cell>
          <cell r="G169" t="b">
            <v>1</v>
          </cell>
          <cell r="H169" t="str">
            <v>29/05/2024 16:44:33</v>
          </cell>
          <cell r="I169" t="str">
            <v/>
          </cell>
          <cell r="J169" t="str">
            <v>image168.jpeg</v>
          </cell>
        </row>
        <row r="170">
          <cell r="B170" t="str">
            <v>Nguyễn Thị Thanh Tuyền</v>
          </cell>
          <cell r="C170" t="str">
            <v>KTX052183018949</v>
          </cell>
          <cell r="D170" t="str">
            <v>052183018949</v>
          </cell>
          <cell r="E170" t="str">
            <v>E02, E03</v>
          </cell>
          <cell r="F170" t="str">
            <v>052183018949</v>
          </cell>
          <cell r="G170" t="b">
            <v>1</v>
          </cell>
          <cell r="H170" t="str">
            <v>23/02/2024 14:54:55</v>
          </cell>
          <cell r="I170" t="str">
            <v/>
          </cell>
          <cell r="J170" t="str">
            <v>image169.jpeg</v>
          </cell>
        </row>
        <row r="171">
          <cell r="B171" t="str">
            <v>Nguyễn Thị Tho</v>
          </cell>
          <cell r="C171" t="str">
            <v>KTX091182020891</v>
          </cell>
          <cell r="D171" t="str">
            <v>091182020891</v>
          </cell>
          <cell r="E171" t="str">
            <v>E02, E03</v>
          </cell>
          <cell r="F171" t="str">
            <v>091182020891</v>
          </cell>
          <cell r="G171" t="b">
            <v>1</v>
          </cell>
          <cell r="H171" t="str">
            <v>13/03/2024 13:28:07</v>
          </cell>
          <cell r="I171" t="str">
            <v/>
          </cell>
          <cell r="J171" t="str">
            <v>image170.jpeg</v>
          </cell>
        </row>
        <row r="172">
          <cell r="B172" t="str">
            <v>Nguyễn Thị Thu Trang</v>
          </cell>
          <cell r="C172" t="str">
            <v>KTX086175000384</v>
          </cell>
          <cell r="D172" t="str">
            <v>086175000384</v>
          </cell>
          <cell r="E172" t="str">
            <v>C04, C01, C05, C02, C06, C03, E02, E03</v>
          </cell>
          <cell r="F172" t="str">
            <v>086175000384</v>
          </cell>
          <cell r="G172" t="b">
            <v>1</v>
          </cell>
          <cell r="H172" t="str">
            <v>26/02/2024 10:47:12</v>
          </cell>
          <cell r="I172" t="str">
            <v/>
          </cell>
          <cell r="J172" t="str">
            <v>image171.jpeg</v>
          </cell>
        </row>
        <row r="173">
          <cell r="B173" t="str">
            <v>Nguyễn Thị Trọng</v>
          </cell>
          <cell r="C173" t="str">
            <v>KTX068180007380</v>
          </cell>
          <cell r="D173" t="str">
            <v>068180007380</v>
          </cell>
          <cell r="E173" t="str">
            <v>C04, BA5, B04, E01, C01, D05, C05, C02, C06, C03, BA2, BA4, BA3, BA1, B03, D03, D02, D06, D04, B01, B02, B05, E02, E04, E03</v>
          </cell>
          <cell r="F173" t="str">
            <v>068180007380</v>
          </cell>
          <cell r="G173" t="b">
            <v>1</v>
          </cell>
          <cell r="H173" t="str">
            <v>28/03/2024 12:33:08</v>
          </cell>
          <cell r="I173" t="str">
            <v/>
          </cell>
          <cell r="J173" t="str">
            <v>image172.jpeg</v>
          </cell>
        </row>
        <row r="174">
          <cell r="B174" t="str">
            <v>Nguyễn Thị Tuyết Hằng</v>
          </cell>
          <cell r="C174" t="str">
            <v>KTX080171008177</v>
          </cell>
          <cell r="D174" t="str">
            <v>080171008177</v>
          </cell>
          <cell r="E174" t="str">
            <v>E03, E02</v>
          </cell>
          <cell r="F174" t="str">
            <v>080171008177</v>
          </cell>
          <cell r="G174" t="b">
            <v>1</v>
          </cell>
          <cell r="H174" t="str">
            <v>15/04/2025 09:45:46</v>
          </cell>
          <cell r="I174" t="str">
            <v/>
          </cell>
          <cell r="J174" t="str">
            <v>image173.jpeg</v>
          </cell>
        </row>
        <row r="175">
          <cell r="B175" t="str">
            <v>Nguyễn Thị Vân</v>
          </cell>
          <cell r="C175" t="str">
            <v>KTX038191021461</v>
          </cell>
          <cell r="D175" t="str">
            <v>038191021461</v>
          </cell>
          <cell r="E175" t="str">
            <v>B04, B03, B01, B02, B05, E02, E03</v>
          </cell>
          <cell r="F175" t="str">
            <v>038191021461</v>
          </cell>
          <cell r="G175" t="b">
            <v>1</v>
          </cell>
          <cell r="H175" t="str">
            <v>01/03/2024 14:50:45</v>
          </cell>
          <cell r="I175" t="str">
            <v/>
          </cell>
          <cell r="J175" t="str">
            <v>image174.jpeg</v>
          </cell>
        </row>
        <row r="176">
          <cell r="B176" t="str">
            <v>Nguyễn Thị Vân Anh</v>
          </cell>
          <cell r="C176" t="str">
            <v>KTX086185012451</v>
          </cell>
          <cell r="D176" t="str">
            <v>086185012451</v>
          </cell>
          <cell r="E176" t="str">
            <v>E03, E02</v>
          </cell>
          <cell r="F176" t="str">
            <v>086185012451</v>
          </cell>
          <cell r="G176" t="b">
            <v>1</v>
          </cell>
          <cell r="H176" t="str">
            <v>15/04/2025 09:24:16</v>
          </cell>
          <cell r="I176" t="str">
            <v/>
          </cell>
          <cell r="J176" t="str">
            <v>image175.jpeg</v>
          </cell>
        </row>
        <row r="177">
          <cell r="B177" t="str">
            <v>Nguyễn Thị Xuân Loan</v>
          </cell>
          <cell r="C177" t="str">
            <v>KTX060189016675</v>
          </cell>
          <cell r="D177" t="str">
            <v>060189016675</v>
          </cell>
          <cell r="E177" t="str">
            <v>C04, BA5, B04, E01, C01, D05, C05, C02, C06, C03, BA2, BA4, BA3, BA1, B03, D03, D02, D06, D04, B01, B02, B05, E03, E04, E02</v>
          </cell>
          <cell r="F177" t="str">
            <v>060189016675</v>
          </cell>
          <cell r="G177" t="b">
            <v>1</v>
          </cell>
          <cell r="H177" t="str">
            <v>04/03/2024 10:59:00</v>
          </cell>
          <cell r="I177" t="str">
            <v/>
          </cell>
          <cell r="J177" t="str">
            <v>image176.jpeg</v>
          </cell>
        </row>
        <row r="178">
          <cell r="B178" t="str">
            <v>Nguyễn Thùy Dung</v>
          </cell>
          <cell r="C178" t="str">
            <v>KTX034300011409</v>
          </cell>
          <cell r="D178" t="str">
            <v>034300011409</v>
          </cell>
          <cell r="E178" t="str">
            <v>E02, E03</v>
          </cell>
          <cell r="F178" t="str">
            <v>034300011409</v>
          </cell>
          <cell r="G178" t="b">
            <v>1</v>
          </cell>
          <cell r="H178" t="str">
            <v>23/02/2024 14:58:21</v>
          </cell>
          <cell r="I178" t="str">
            <v/>
          </cell>
          <cell r="J178" t="str">
            <v>image177.jpeg</v>
          </cell>
        </row>
        <row r="179">
          <cell r="B179" t="str">
            <v>Nguyễn Tiến Bản</v>
          </cell>
          <cell r="C179" t="str">
            <v>KTX042082010309</v>
          </cell>
          <cell r="D179" t="str">
            <v>042082010309</v>
          </cell>
          <cell r="E179" t="str">
            <v>E02, E03</v>
          </cell>
          <cell r="F179" t="str">
            <v>042082010309</v>
          </cell>
          <cell r="G179" t="b">
            <v>1</v>
          </cell>
          <cell r="H179" t="str">
            <v>13/03/2024 13:34:20</v>
          </cell>
          <cell r="I179" t="str">
            <v/>
          </cell>
          <cell r="J179" t="str">
            <v>image178.jpeg</v>
          </cell>
        </row>
        <row r="180">
          <cell r="B180" t="str">
            <v>Nguyễn Trần Công Danh</v>
          </cell>
          <cell r="C180" t="str">
            <v>KTX074084008367</v>
          </cell>
          <cell r="D180" t="str">
            <v>074084008367</v>
          </cell>
          <cell r="E180" t="str">
            <v>E03, E02</v>
          </cell>
          <cell r="F180" t="str">
            <v>074084008367</v>
          </cell>
          <cell r="G180" t="b">
            <v>1</v>
          </cell>
          <cell r="H180" t="str">
            <v>15/04/2025 09:54:56</v>
          </cell>
          <cell r="I180" t="str">
            <v/>
          </cell>
          <cell r="J180" t="str">
            <v>image179.jpeg</v>
          </cell>
        </row>
        <row r="181">
          <cell r="B181" t="str">
            <v>Nguyễn Trần Hồng Hoa</v>
          </cell>
          <cell r="C181" t="str">
            <v>KTX079196011551</v>
          </cell>
          <cell r="D181" t="str">
            <v>079196011551</v>
          </cell>
          <cell r="E181" t="str">
            <v>E03, E02</v>
          </cell>
          <cell r="F181" t="str">
            <v>079196011551</v>
          </cell>
          <cell r="G181" t="b">
            <v>1</v>
          </cell>
          <cell r="H181" t="str">
            <v>18/07/2024 15:12:39</v>
          </cell>
          <cell r="I181" t="str">
            <v/>
          </cell>
          <cell r="J181" t="str">
            <v>image180.jpeg</v>
          </cell>
        </row>
        <row r="182">
          <cell r="B182" t="str">
            <v>Nguyễn Trọng Thiện</v>
          </cell>
          <cell r="C182" t="str">
            <v>KTX033083000240</v>
          </cell>
          <cell r="D182" t="str">
            <v>033083000240</v>
          </cell>
          <cell r="E182" t="str">
            <v>C04, BA5, B04, E01, C01, D05, C05, C02, C06, C03, BA2, BA4, BA3, BA1, B03, D03, D02, D06, D04, B01, B02, B05, E03, E02, E04</v>
          </cell>
          <cell r="F182" t="str">
            <v>033083000240</v>
          </cell>
          <cell r="G182" t="b">
            <v>1</v>
          </cell>
          <cell r="H182" t="str">
            <v>04/03/2024 11:29:49</v>
          </cell>
          <cell r="I182" t="str">
            <v/>
          </cell>
          <cell r="J182" t="str">
            <v>image181.jpeg</v>
          </cell>
        </row>
        <row r="183">
          <cell r="B183" t="str">
            <v>Nguyễn Trung Kiên</v>
          </cell>
          <cell r="C183" t="str">
            <v>KTX034076007644</v>
          </cell>
          <cell r="D183" t="str">
            <v>034076007644</v>
          </cell>
          <cell r="E183" t="str">
            <v>C04, BA5, B04, E01, C01, D05, C05, C02, C06, C03, BA2, E02, BA4, BA3, BA1, B03, D03, D02, D06, D04, B01, B02, B05, E03, E04</v>
          </cell>
          <cell r="F183" t="str">
            <v>034076007644</v>
          </cell>
          <cell r="G183" t="b">
            <v>1</v>
          </cell>
          <cell r="H183" t="str">
            <v>04/03/2024 11:12:11</v>
          </cell>
          <cell r="I183" t="str">
            <v/>
          </cell>
          <cell r="J183" t="str">
            <v>image182.jpeg</v>
          </cell>
        </row>
        <row r="184">
          <cell r="B184" t="str">
            <v>Nguyễn Tuấn Anh</v>
          </cell>
          <cell r="C184" t="str">
            <v>KTX096090013633</v>
          </cell>
          <cell r="D184" t="str">
            <v>096090013633</v>
          </cell>
          <cell r="E184" t="str">
            <v>E03, E02</v>
          </cell>
          <cell r="F184" t="str">
            <v>096090013633</v>
          </cell>
          <cell r="G184" t="b">
            <v>1</v>
          </cell>
          <cell r="H184" t="str">
            <v>15/04/2025 09:45:46</v>
          </cell>
          <cell r="I184" t="str">
            <v/>
          </cell>
          <cell r="J184" t="str">
            <v>image183.jpeg</v>
          </cell>
        </row>
        <row r="185">
          <cell r="B185" t="str">
            <v>Nguyễn Văn An</v>
          </cell>
          <cell r="C185" t="str">
            <v>KTX015093009761</v>
          </cell>
          <cell r="D185" t="str">
            <v>015093009761</v>
          </cell>
          <cell r="E185" t="str">
            <v>C04, BA5, B04, E01, C01, D05, C05, C02, C06, C03, BA2, BA4, BA3, BA1, B03, D03, D02, D06, D04, B01, B02, B05, E02, E03, E04</v>
          </cell>
          <cell r="F185" t="str">
            <v>015093009761</v>
          </cell>
          <cell r="G185" t="b">
            <v>1</v>
          </cell>
          <cell r="H185" t="str">
            <v>28/03/2024 15:31:22</v>
          </cell>
          <cell r="I185" t="str">
            <v/>
          </cell>
          <cell r="J185" t="str">
            <v>image184.jpeg</v>
          </cell>
        </row>
        <row r="186">
          <cell r="B186" t="str">
            <v>Nguyễn Văn Bá Khương</v>
          </cell>
          <cell r="C186" t="str">
            <v>KTX086080002477</v>
          </cell>
          <cell r="D186" t="str">
            <v>086080002477</v>
          </cell>
          <cell r="E186" t="str">
            <v>E03, E02</v>
          </cell>
          <cell r="F186" t="str">
            <v>086080002477</v>
          </cell>
          <cell r="G186" t="b">
            <v>1</v>
          </cell>
          <cell r="H186" t="str">
            <v>15/04/2025 09:45:46</v>
          </cell>
          <cell r="I186" t="str">
            <v/>
          </cell>
          <cell r="J186" t="str">
            <v>image185.jpeg</v>
          </cell>
        </row>
        <row r="187">
          <cell r="B187" t="str">
            <v>Nguyễn Văn Dũng</v>
          </cell>
          <cell r="C187" t="str">
            <v>KTX025083013328</v>
          </cell>
          <cell r="D187" t="str">
            <v>025083013328</v>
          </cell>
          <cell r="E187" t="str">
            <v>BA5, BA2, BA4, BA3, BA1, E02, E03</v>
          </cell>
          <cell r="F187" t="str">
            <v>025083013328</v>
          </cell>
          <cell r="G187" t="b">
            <v>1</v>
          </cell>
          <cell r="H187" t="str">
            <v>22/02/2024 15:51:31</v>
          </cell>
          <cell r="I187" t="str">
            <v/>
          </cell>
          <cell r="J187" t="str">
            <v>image186.jpeg</v>
          </cell>
        </row>
        <row r="188">
          <cell r="B188" t="str">
            <v>Nguyễn Văn Giào</v>
          </cell>
          <cell r="C188" t="str">
            <v>KTX086084001592</v>
          </cell>
          <cell r="D188" t="str">
            <v>086084001592</v>
          </cell>
          <cell r="E188" t="str">
            <v>C04, C01, C05, C02, C06, C03, E02, E03</v>
          </cell>
          <cell r="F188" t="str">
            <v>086084001592</v>
          </cell>
          <cell r="G188" t="b">
            <v>1</v>
          </cell>
          <cell r="H188" t="str">
            <v>26/02/2024 10:53:10</v>
          </cell>
          <cell r="I188" t="str">
            <v/>
          </cell>
          <cell r="J188" t="str">
            <v>image187.jpeg</v>
          </cell>
        </row>
        <row r="189">
          <cell r="B189" t="str">
            <v>Nguyễn Văn Hải</v>
          </cell>
          <cell r="C189" t="str">
            <v>KTX038065043298</v>
          </cell>
          <cell r="D189" t="str">
            <v>038065043298</v>
          </cell>
          <cell r="E189" t="str">
            <v>E03, E02</v>
          </cell>
          <cell r="F189" t="str">
            <v>038065043298</v>
          </cell>
          <cell r="G189" t="b">
            <v>1</v>
          </cell>
          <cell r="H189" t="str">
            <v>15/04/2025 09:54:56</v>
          </cell>
          <cell r="I189" t="str">
            <v/>
          </cell>
          <cell r="J189" t="str">
            <v>image188.jpeg</v>
          </cell>
        </row>
        <row r="190">
          <cell r="B190" t="str">
            <v>Nguyễn Văn Khá</v>
          </cell>
          <cell r="C190" t="str">
            <v>KTX034083022201</v>
          </cell>
          <cell r="D190" t="str">
            <v>034083022201</v>
          </cell>
          <cell r="E190" t="str">
            <v>C04, BA5, B04, E01, C01, D05, C05, C02, C06, C03, BA2, BA4, BA3, BA1, B03, D03, D02, D06, D04, B01, B02, B05, E02, E04, E03</v>
          </cell>
          <cell r="F190" t="str">
            <v>034083022201</v>
          </cell>
          <cell r="G190" t="b">
            <v>1</v>
          </cell>
          <cell r="H190" t="str">
            <v>28/03/2024 15:02:32</v>
          </cell>
          <cell r="I190" t="str">
            <v/>
          </cell>
          <cell r="J190" t="str">
            <v>image189.jpeg</v>
          </cell>
        </row>
        <row r="191">
          <cell r="B191" t="str">
            <v>Nguyễn Văn Khanh</v>
          </cell>
          <cell r="C191" t="str">
            <v>KTX075092009301</v>
          </cell>
          <cell r="D191" t="str">
            <v>075092009301</v>
          </cell>
          <cell r="E191" t="str">
            <v>E02, E03</v>
          </cell>
          <cell r="F191" t="str">
            <v>075092009301</v>
          </cell>
          <cell r="G191" t="b">
            <v>1</v>
          </cell>
          <cell r="H191" t="str">
            <v>13/03/2024 13:34:37</v>
          </cell>
          <cell r="I191" t="str">
            <v/>
          </cell>
          <cell r="J191" t="str">
            <v>image190.jpeg</v>
          </cell>
        </row>
        <row r="192">
          <cell r="B192" t="str">
            <v>Nguyễn Văn Lâm</v>
          </cell>
          <cell r="C192" t="str">
            <v>KTX093073007759</v>
          </cell>
          <cell r="D192" t="str">
            <v>093073007759</v>
          </cell>
          <cell r="E192" t="str">
            <v>E03, E02</v>
          </cell>
          <cell r="F192" t="str">
            <v>093073007759</v>
          </cell>
          <cell r="G192" t="b">
            <v>1</v>
          </cell>
          <cell r="H192" t="str">
            <v>15/04/2025 09:45:46</v>
          </cell>
          <cell r="I192" t="str">
            <v/>
          </cell>
          <cell r="J192" t="str">
            <v>image191.jpeg</v>
          </cell>
        </row>
        <row r="193">
          <cell r="B193" t="str">
            <v>Nguyễn Văn Lợi</v>
          </cell>
          <cell r="C193" t="str">
            <v>KTX036087021699</v>
          </cell>
          <cell r="D193" t="str">
            <v>036087021699</v>
          </cell>
          <cell r="E193" t="str">
            <v>C04, BA5, B04, E01, C01, D05, C05, C02, C06, C03, BA2, BA4, BA3, BA1, B03, D03, D02, D06, D04, B01, B02, B05, E02, E04, E03</v>
          </cell>
          <cell r="F193" t="str">
            <v>036087021699</v>
          </cell>
          <cell r="G193" t="b">
            <v>1</v>
          </cell>
          <cell r="H193" t="str">
            <v>23/02/2024 15:30:19</v>
          </cell>
          <cell r="I193" t="str">
            <v/>
          </cell>
          <cell r="J193" t="str">
            <v>image192.jpeg</v>
          </cell>
        </row>
        <row r="194">
          <cell r="B194" t="str">
            <v>Nguyễn Văn Lương</v>
          </cell>
          <cell r="C194" t="str">
            <v>KTX038077027467</v>
          </cell>
          <cell r="D194" t="str">
            <v>038077027467</v>
          </cell>
          <cell r="E194" t="str">
            <v>E03, E02, B01, B02, B03, B04, B05, BA1, BA2, BA3, BA4, BA5, C01, C02, C03, C04, C05, C06, D02, D03, D04, D05, D06, E01, E04</v>
          </cell>
          <cell r="F194" t="str">
            <v>038077027467</v>
          </cell>
          <cell r="G194" t="b">
            <v>1</v>
          </cell>
          <cell r="H194" t="str">
            <v>15/04/2025 09:54:56</v>
          </cell>
          <cell r="I194" t="str">
            <v/>
          </cell>
          <cell r="J194" t="str">
            <v>image193.jpeg</v>
          </cell>
        </row>
        <row r="195">
          <cell r="B195" t="str">
            <v>Nguyễn Văn Minh</v>
          </cell>
          <cell r="C195" t="str">
            <v>KTX025085011974</v>
          </cell>
          <cell r="D195" t="str">
            <v>025085011974</v>
          </cell>
          <cell r="E195" t="str">
            <v>B04, B03, B01, B02, B05, E03, E02</v>
          </cell>
          <cell r="F195" t="str">
            <v>025085011974</v>
          </cell>
          <cell r="G195" t="b">
            <v>1</v>
          </cell>
          <cell r="H195" t="str">
            <v>01/03/2024 14:46:47</v>
          </cell>
          <cell r="I195" t="str">
            <v/>
          </cell>
          <cell r="J195" t="str">
            <v>image194.jpeg</v>
          </cell>
        </row>
        <row r="196">
          <cell r="B196" t="str">
            <v>Nguyễn Văn Nam</v>
          </cell>
          <cell r="C196" t="str">
            <v>KTX034078012280</v>
          </cell>
          <cell r="D196" t="str">
            <v>034078012280</v>
          </cell>
          <cell r="E196" t="str">
            <v>E02, E03, D02, D03, D04, D05, D06, BA1, BA2, BA3, BA4, BA5</v>
          </cell>
          <cell r="F196" t="str">
            <v>034078012280</v>
          </cell>
          <cell r="G196" t="b">
            <v>1</v>
          </cell>
          <cell r="H196" t="str">
            <v>22/02/2024 15:49:50</v>
          </cell>
          <cell r="I196" t="str">
            <v/>
          </cell>
          <cell r="J196" t="str">
            <v>image195.jpeg</v>
          </cell>
        </row>
        <row r="197">
          <cell r="B197" t="str">
            <v>Nguyễn Văn Sang</v>
          </cell>
          <cell r="C197" t="str">
            <v>KTX087083000158</v>
          </cell>
          <cell r="D197" t="str">
            <v>087083000158</v>
          </cell>
          <cell r="E197" t="str">
            <v>C04, C01, C05, C02, C06, C03, E03, E02</v>
          </cell>
          <cell r="F197" t="str">
            <v>087083000158</v>
          </cell>
          <cell r="G197" t="b">
            <v>1</v>
          </cell>
          <cell r="H197" t="str">
            <v>01/08/2024 08:23:22</v>
          </cell>
          <cell r="I197" t="str">
            <v/>
          </cell>
          <cell r="J197" t="str">
            <v>image196.jpeg</v>
          </cell>
        </row>
        <row r="198">
          <cell r="B198" t="str">
            <v>Nguyễn Văn Trung</v>
          </cell>
          <cell r="C198" t="str">
            <v>KTX040065002904</v>
          </cell>
          <cell r="D198" t="str">
            <v>040065002904</v>
          </cell>
          <cell r="E198" t="str">
            <v>D05, D03, D02, D06, D04, E02, E03</v>
          </cell>
          <cell r="F198" t="str">
            <v>040065002904</v>
          </cell>
          <cell r="G198" t="b">
            <v>1</v>
          </cell>
          <cell r="H198" t="str">
            <v>28/02/2024 14:23:29</v>
          </cell>
          <cell r="I198" t="str">
            <v/>
          </cell>
          <cell r="J198" t="str">
            <v>image197.jpeg</v>
          </cell>
        </row>
        <row r="199">
          <cell r="B199" t="str">
            <v>Nguyễn Viết Đồng</v>
          </cell>
          <cell r="C199" t="str">
            <v>KTX042083017414</v>
          </cell>
          <cell r="D199" t="str">
            <v>042083017414</v>
          </cell>
          <cell r="E199" t="str">
            <v>E03, E02</v>
          </cell>
          <cell r="F199" t="str">
            <v>042083017414</v>
          </cell>
          <cell r="G199" t="b">
            <v>1</v>
          </cell>
          <cell r="H199" t="str">
            <v>15/04/2025 09:54:56</v>
          </cell>
          <cell r="I199" t="str">
            <v/>
          </cell>
          <cell r="J199" t="str">
            <v>image198.jpeg</v>
          </cell>
        </row>
        <row r="200">
          <cell r="B200" t="str">
            <v>Nguyễn Viết Nam</v>
          </cell>
          <cell r="C200" t="str">
            <v>KTX033079015004</v>
          </cell>
          <cell r="D200" t="str">
            <v>033079015004</v>
          </cell>
          <cell r="E200" t="str">
            <v>C04, BA5, B04, E01, C01, D05, C05, C02, C06, C03, BA2, BA4, BA3, BA1, B03, D03, D02, D06, D04, B01, B02, B05, E02, E04, E03</v>
          </cell>
          <cell r="F200" t="str">
            <v>033079015004</v>
          </cell>
          <cell r="G200" t="b">
            <v>1</v>
          </cell>
          <cell r="H200" t="str">
            <v>28/03/2024 15:28:40</v>
          </cell>
          <cell r="I200" t="str">
            <v/>
          </cell>
          <cell r="J200" t="str">
            <v>image199.jpeg</v>
          </cell>
        </row>
        <row r="201">
          <cell r="B201" t="str">
            <v>Nguyễn Việt Trung</v>
          </cell>
          <cell r="C201" t="str">
            <v>KTX066084009464</v>
          </cell>
          <cell r="D201" t="str">
            <v>066084009464</v>
          </cell>
          <cell r="E201" t="str">
            <v>E02, E03</v>
          </cell>
          <cell r="F201" t="str">
            <v>066084009464</v>
          </cell>
          <cell r="G201" t="b">
            <v>1</v>
          </cell>
          <cell r="H201" t="str">
            <v>23/02/2024 14:50:42</v>
          </cell>
          <cell r="I201" t="str">
            <v/>
          </cell>
          <cell r="J201" t="str">
            <v>image200.jpeg</v>
          </cell>
        </row>
        <row r="202">
          <cell r="B202" t="str">
            <v>Nguyễn Xuân Phúc</v>
          </cell>
          <cell r="C202" t="str">
            <v>KTX079201014753</v>
          </cell>
          <cell r="D202" t="str">
            <v>079201014753</v>
          </cell>
          <cell r="E202" t="str">
            <v>E03, E02</v>
          </cell>
          <cell r="F202" t="str">
            <v>079201014753</v>
          </cell>
          <cell r="G202" t="b">
            <v>1</v>
          </cell>
          <cell r="H202" t="str">
            <v>15/04/2025 09:54:56</v>
          </cell>
          <cell r="I202" t="str">
            <v/>
          </cell>
          <cell r="J202" t="str">
            <v>image201.jpeg</v>
          </cell>
        </row>
        <row r="203">
          <cell r="B203" t="str">
            <v>Ninh Bá Tuyến</v>
          </cell>
          <cell r="C203" t="str">
            <v>KTX036064023972</v>
          </cell>
          <cell r="D203" t="str">
            <v>036064023972</v>
          </cell>
          <cell r="E203" t="str">
            <v>C04, BA5, B04, E01, C01, D05, C05, C02, C06, C03, BA2, BA4, BA3, BA1, E02, B03, D03, D02, D06, D04, B01, B02, B05, E03, E04</v>
          </cell>
          <cell r="F203" t="str">
            <v>036064023972</v>
          </cell>
          <cell r="G203" t="b">
            <v>1</v>
          </cell>
          <cell r="H203" t="str">
            <v>04/03/2024 11:04:14</v>
          </cell>
          <cell r="I203" t="str">
            <v/>
          </cell>
          <cell r="J203" t="str">
            <v>image202.jpeg</v>
          </cell>
        </row>
        <row r="204">
          <cell r="B204" t="str">
            <v>Nông Thị Linh</v>
          </cell>
          <cell r="C204" t="str">
            <v>KTX075198010931</v>
          </cell>
          <cell r="D204" t="str">
            <v>075198010931</v>
          </cell>
          <cell r="E204" t="str">
            <v>E01, E02, E04, E03</v>
          </cell>
          <cell r="F204" t="str">
            <v>075198010931</v>
          </cell>
          <cell r="G204" t="b">
            <v>1</v>
          </cell>
          <cell r="H204" t="str">
            <v>06/03/2024 09:35:50</v>
          </cell>
          <cell r="I204" t="str">
            <v/>
          </cell>
          <cell r="J204" t="str">
            <v>image203.jpeg</v>
          </cell>
        </row>
        <row r="205">
          <cell r="B205" t="str">
            <v>Phạm Anh Duy</v>
          </cell>
          <cell r="C205" t="str">
            <v>KTX082091000195</v>
          </cell>
          <cell r="D205" t="str">
            <v>082091000195</v>
          </cell>
          <cell r="E205" t="str">
            <v>BA5, BA2, BA4, BA3, BA1, E03, E02, B02</v>
          </cell>
          <cell r="F205" t="str">
            <v>082091000195</v>
          </cell>
          <cell r="G205" t="b">
            <v>1</v>
          </cell>
          <cell r="H205" t="str">
            <v>22/02/2024 15:53:07</v>
          </cell>
          <cell r="I205" t="str">
            <v/>
          </cell>
          <cell r="J205" t="str">
            <v>image204.jpeg</v>
          </cell>
        </row>
        <row r="206">
          <cell r="B206" t="str">
            <v>Phạm Hoàng Em</v>
          </cell>
          <cell r="C206" t="str">
            <v>KTX086079000886</v>
          </cell>
          <cell r="D206" t="str">
            <v>086079000886</v>
          </cell>
          <cell r="E206" t="str">
            <v>E03, E02</v>
          </cell>
          <cell r="F206" t="str">
            <v>086079000886</v>
          </cell>
          <cell r="G206" t="b">
            <v>1</v>
          </cell>
          <cell r="H206" t="str">
            <v>15/04/2025 09:54:56</v>
          </cell>
          <cell r="I206" t="str">
            <v/>
          </cell>
          <cell r="J206" t="str">
            <v>image205.jpeg</v>
          </cell>
        </row>
        <row r="207">
          <cell r="B207" t="str">
            <v>Phạm Long Khải</v>
          </cell>
          <cell r="C207" t="str">
            <v>KTX051083000291</v>
          </cell>
          <cell r="D207" t="str">
            <v>051083000291</v>
          </cell>
          <cell r="E207" t="str">
            <v>E03, E02, BA1, BA2, BA3, BA4, BA5, B01, B02, B03, B04, B05, C01, C02, C03, C04, C05, C06, D02, D03, D04, D05, D06, E01, E04</v>
          </cell>
          <cell r="F207" t="str">
            <v>051083000291</v>
          </cell>
          <cell r="G207" t="b">
            <v>1</v>
          </cell>
          <cell r="H207" t="str">
            <v>14/06/2024 11:07:07</v>
          </cell>
          <cell r="I207" t="str">
            <v/>
          </cell>
          <cell r="J207" t="str">
            <v>image206.jpeg</v>
          </cell>
        </row>
        <row r="208">
          <cell r="B208" t="str">
            <v>Phạm Ngọc Nam</v>
          </cell>
          <cell r="C208" t="str">
            <v>KTX074073007502</v>
          </cell>
          <cell r="D208" t="str">
            <v>074073007502</v>
          </cell>
          <cell r="E208" t="str">
            <v>B04, B03, B01, B02, B05, E03, E02</v>
          </cell>
          <cell r="F208" t="str">
            <v>074073007502</v>
          </cell>
          <cell r="G208" t="b">
            <v>1</v>
          </cell>
          <cell r="H208" t="str">
            <v>15/09/2025 10:36:38</v>
          </cell>
          <cell r="I208" t="str">
            <v/>
          </cell>
          <cell r="J208" t="str">
            <v>image207.jpeg</v>
          </cell>
        </row>
        <row r="209">
          <cell r="B209" t="str">
            <v>Phạm Ngọc Vỹ</v>
          </cell>
          <cell r="C209" t="str">
            <v>KTX051078007200</v>
          </cell>
          <cell r="D209" t="str">
            <v>051078007200</v>
          </cell>
          <cell r="E209" t="str">
            <v>E03, E02, B01, B02, B03, B04, B05, BA1, BA2, BA3, BA4, BA5, C01, C02, C03, C04, C05, C06, D02, D03, D04, D05, D06, E01, E04</v>
          </cell>
          <cell r="F209" t="str">
            <v>051078007200</v>
          </cell>
          <cell r="G209" t="b">
            <v>1</v>
          </cell>
          <cell r="H209" t="str">
            <v>03/02/2024 10:41:20</v>
          </cell>
          <cell r="I209" t="str">
            <v/>
          </cell>
          <cell r="J209" t="str">
            <v>image208.jpeg</v>
          </cell>
        </row>
        <row r="210">
          <cell r="B210" t="str">
            <v>Phạm Nhất Phương</v>
          </cell>
          <cell r="C210" t="str">
            <v>KTX082081000085</v>
          </cell>
          <cell r="D210" t="str">
            <v>082081000085</v>
          </cell>
          <cell r="E210" t="str">
            <v>C04, BA5, B04, E01, C01, D05, C05, C02, C06, C03, BA2, BA4, BA3, BA1, B03, D03, D02, D06, D04, B01, B02, B05, E03, E02, E04</v>
          </cell>
          <cell r="F210" t="str">
            <v>082081000085</v>
          </cell>
          <cell r="G210" t="b">
            <v>1</v>
          </cell>
          <cell r="H210" t="str">
            <v>04/03/2024 11:03:32</v>
          </cell>
          <cell r="I210" t="str">
            <v/>
          </cell>
          <cell r="J210" t="str">
            <v>image209.jpeg</v>
          </cell>
        </row>
        <row r="211">
          <cell r="B211" t="str">
            <v>Phạm Phước Giàu</v>
          </cell>
          <cell r="C211" t="str">
            <v>KTX074088009468</v>
          </cell>
          <cell r="D211" t="str">
            <v>074088009468</v>
          </cell>
          <cell r="E211" t="str">
            <v>E03, E02</v>
          </cell>
          <cell r="F211" t="str">
            <v>074088009468</v>
          </cell>
          <cell r="G211" t="b">
            <v>1</v>
          </cell>
          <cell r="H211" t="str">
            <v>15/04/2025 09:54:56</v>
          </cell>
          <cell r="I211" t="str">
            <v/>
          </cell>
          <cell r="J211" t="str">
            <v>image210.jpeg</v>
          </cell>
        </row>
        <row r="212">
          <cell r="B212" t="str">
            <v>Phạm Thanh Tú</v>
          </cell>
          <cell r="C212" t="str">
            <v>KTX052082004133</v>
          </cell>
          <cell r="D212" t="str">
            <v>052082004133</v>
          </cell>
          <cell r="E212" t="str">
            <v>E03, E02</v>
          </cell>
          <cell r="F212" t="str">
            <v>052082004133</v>
          </cell>
          <cell r="G212" t="b">
            <v>1</v>
          </cell>
          <cell r="H212" t="str">
            <v>15/04/2025 09:13:38</v>
          </cell>
          <cell r="I212" t="str">
            <v/>
          </cell>
          <cell r="J212" t="str">
            <v>image211.jpeg</v>
          </cell>
        </row>
        <row r="213">
          <cell r="B213" t="str">
            <v>Phạm Thanh Tuấn</v>
          </cell>
          <cell r="C213" t="str">
            <v>KTX060200012353</v>
          </cell>
          <cell r="D213" t="str">
            <v>060200012353</v>
          </cell>
          <cell r="E213" t="str">
            <v>E03, E02, B01, B02, B03, B04, B05, BA1, BA2, BA3, BA4, BA5, C01, C02, C03, C04, C05, C06, D02, D03, D04, D05, D06, E01, E04</v>
          </cell>
          <cell r="F213" t="str">
            <v>060200012353</v>
          </cell>
          <cell r="G213" t="b">
            <v>1</v>
          </cell>
          <cell r="H213" t="str">
            <v>03/02/2024 10:37:00</v>
          </cell>
          <cell r="I213" t="str">
            <v/>
          </cell>
          <cell r="J213" t="str">
            <v>image212.jpeg</v>
          </cell>
        </row>
        <row r="214">
          <cell r="B214" t="str">
            <v>Phạm Thị Định</v>
          </cell>
          <cell r="C214" t="str">
            <v>KTX038189040556</v>
          </cell>
          <cell r="D214" t="str">
            <v>038189040556</v>
          </cell>
          <cell r="E214" t="str">
            <v>E03, E02</v>
          </cell>
          <cell r="F214" t="str">
            <v>038189040556</v>
          </cell>
          <cell r="G214" t="b">
            <v>1</v>
          </cell>
          <cell r="H214" t="str">
            <v>15/04/2025 09:45:46</v>
          </cell>
          <cell r="I214" t="str">
            <v/>
          </cell>
          <cell r="J214" t="str">
            <v>image213.jpeg</v>
          </cell>
        </row>
        <row r="215">
          <cell r="B215" t="str">
            <v>Phạm Thị Vân Anh</v>
          </cell>
          <cell r="C215" t="str">
            <v>KTX034181008345</v>
          </cell>
          <cell r="D215" t="str">
            <v>034181008345</v>
          </cell>
          <cell r="E215" t="str">
            <v>C04, BA5, B04, E01, C01, D05, C05, C02, C06, C03, BA2, BA4, BA3, BA1, B03, D03, D02, D06, D04, B01, B02, B05, E03, E02, E04</v>
          </cell>
          <cell r="F215" t="str">
            <v>034181008345</v>
          </cell>
          <cell r="G215" t="b">
            <v>1</v>
          </cell>
          <cell r="H215" t="str">
            <v>04/03/2024 10:59:19</v>
          </cell>
          <cell r="I215" t="str">
            <v/>
          </cell>
          <cell r="J215" t="str">
            <v>image214.jpeg</v>
          </cell>
        </row>
        <row r="216">
          <cell r="B216" t="str">
            <v>Phạm Văn Hoàng</v>
          </cell>
          <cell r="C216" t="str">
            <v>KTX086072013614</v>
          </cell>
          <cell r="D216" t="str">
            <v>086072013614</v>
          </cell>
          <cell r="E216" t="str">
            <v>E03, E02</v>
          </cell>
          <cell r="F216" t="str">
            <v>086072013614</v>
          </cell>
          <cell r="G216" t="b">
            <v>1</v>
          </cell>
          <cell r="H216" t="str">
            <v>15/04/2025 09:54:56</v>
          </cell>
          <cell r="I216" t="str">
            <v/>
          </cell>
          <cell r="J216" t="str">
            <v>image215.jpeg</v>
          </cell>
        </row>
        <row r="217">
          <cell r="B217" t="str">
            <v>Phạm Văn Nhân</v>
          </cell>
          <cell r="C217" t="str">
            <v>KTX034068020021</v>
          </cell>
          <cell r="D217" t="str">
            <v>034068020021</v>
          </cell>
          <cell r="E217" t="str">
            <v>E03, E02</v>
          </cell>
          <cell r="F217" t="str">
            <v>034068020021</v>
          </cell>
          <cell r="G217" t="b">
            <v>1</v>
          </cell>
          <cell r="H217" t="str">
            <v>15/04/2025 09:54:56</v>
          </cell>
          <cell r="I217" t="str">
            <v/>
          </cell>
          <cell r="J217" t="str">
            <v>image216.jpeg</v>
          </cell>
        </row>
        <row r="218">
          <cell r="B218" t="str">
            <v>Phạm Văn Phong</v>
          </cell>
          <cell r="C218" t="str">
            <v>KTX034086007258</v>
          </cell>
          <cell r="D218" t="str">
            <v>034086007258</v>
          </cell>
          <cell r="E218" t="str">
            <v>D05, D03, D02, D06, D04, E02, E03</v>
          </cell>
          <cell r="F218" t="str">
            <v>034086007258</v>
          </cell>
          <cell r="G218" t="b">
            <v>1</v>
          </cell>
          <cell r="H218" t="str">
            <v>28/02/2024 14:26:34</v>
          </cell>
          <cell r="I218" t="str">
            <v/>
          </cell>
          <cell r="J218" t="str">
            <v>image217.jpeg</v>
          </cell>
        </row>
        <row r="219">
          <cell r="B219" t="str">
            <v>Phạm Xuân Cường</v>
          </cell>
          <cell r="C219" t="str">
            <v>KTX044084002479</v>
          </cell>
          <cell r="D219" t="str">
            <v>044084002479</v>
          </cell>
          <cell r="E219" t="str">
            <v>E03, E02</v>
          </cell>
          <cell r="F219" t="str">
            <v>044084002479</v>
          </cell>
          <cell r="G219" t="b">
            <v>1</v>
          </cell>
          <cell r="H219" t="str">
            <v>15/04/2025 09:54:56</v>
          </cell>
          <cell r="I219" t="str">
            <v/>
          </cell>
          <cell r="J219" t="str">
            <v>image218.jpeg</v>
          </cell>
        </row>
        <row r="220">
          <cell r="B220" t="str">
            <v>Phạm Xuân Trường</v>
          </cell>
          <cell r="C220" t="str">
            <v>KTX035071001506</v>
          </cell>
          <cell r="D220" t="str">
            <v>035071001506</v>
          </cell>
          <cell r="E220" t="str">
            <v>B04, B03, B01, B02, B05, E02, E03</v>
          </cell>
          <cell r="F220" t="str">
            <v>035071001506</v>
          </cell>
          <cell r="G220" t="b">
            <v>1</v>
          </cell>
          <cell r="H220" t="str">
            <v>01/03/2024 14:51:12</v>
          </cell>
          <cell r="I220" t="str">
            <v/>
          </cell>
          <cell r="J220" t="str">
            <v>image219.jpeg</v>
          </cell>
        </row>
        <row r="221">
          <cell r="B221" t="str">
            <v>Phan Quốc Huynh</v>
          </cell>
          <cell r="C221" t="str">
            <v>KTX006087002885</v>
          </cell>
          <cell r="D221" t="str">
            <v>006087002885</v>
          </cell>
          <cell r="E221" t="str">
            <v>C04, BA5, B04, E01, C01, D05, C05, C02, C06, C03, BA2, BA4, BA3, BA1, B03, D03, D02, D06, D04, B01, B02, B05, E02, E04, E03</v>
          </cell>
          <cell r="F221" t="str">
            <v>006087002885</v>
          </cell>
          <cell r="G221" t="b">
            <v>1</v>
          </cell>
          <cell r="H221" t="str">
            <v>23/02/2024 15:52:59</v>
          </cell>
          <cell r="I221" t="str">
            <v/>
          </cell>
          <cell r="J221" t="str">
            <v>image220.jpeg</v>
          </cell>
        </row>
        <row r="222">
          <cell r="B222" t="str">
            <v>Phan Thị Hồng Tươi</v>
          </cell>
          <cell r="C222" t="str">
            <v>KTX075185018431</v>
          </cell>
          <cell r="D222" t="str">
            <v>075185018431</v>
          </cell>
          <cell r="E222" t="str">
            <v>E02, E03</v>
          </cell>
          <cell r="F222" t="str">
            <v>075185018431</v>
          </cell>
          <cell r="G222" t="b">
            <v>1</v>
          </cell>
          <cell r="H222" t="str">
            <v>05/03/2024 14:04:18</v>
          </cell>
          <cell r="I222" t="str">
            <v/>
          </cell>
          <cell r="J222" t="str">
            <v>image221.jpeg</v>
          </cell>
        </row>
        <row r="223">
          <cell r="B223" t="str">
            <v>Phan Thị Kim Thương</v>
          </cell>
          <cell r="C223" t="str">
            <v>KTX052300009892</v>
          </cell>
          <cell r="D223" t="str">
            <v>052300009892</v>
          </cell>
          <cell r="E223" t="str">
            <v>E03, E02</v>
          </cell>
          <cell r="F223" t="str">
            <v>052300009892</v>
          </cell>
          <cell r="G223" t="b">
            <v>1</v>
          </cell>
          <cell r="H223" t="str">
            <v>22/02/2024 16:03:18</v>
          </cell>
          <cell r="I223" t="str">
            <v/>
          </cell>
          <cell r="J223" t="str">
            <v>image222.jpeg</v>
          </cell>
        </row>
        <row r="224">
          <cell r="B224" t="str">
            <v>Phan Thị Mỹ Hương</v>
          </cell>
          <cell r="C224" t="str">
            <v>KTX087176003061</v>
          </cell>
          <cell r="D224" t="str">
            <v>087176003061</v>
          </cell>
          <cell r="E224" t="str">
            <v>C04, BA5, B04, E01, C01, D05, C05, C02, C06, C03, BA2, BA4, BA3, BA1, B03, D03, D02, D06, D04, B01, B02, B05, E03, E02, E04</v>
          </cell>
          <cell r="F224" t="str">
            <v>087176003061</v>
          </cell>
          <cell r="G224" t="b">
            <v>1</v>
          </cell>
          <cell r="H224" t="str">
            <v>29/02/2024 14:23:38</v>
          </cell>
          <cell r="I224" t="str">
            <v/>
          </cell>
          <cell r="J224" t="str">
            <v>image223.jpeg</v>
          </cell>
        </row>
        <row r="225">
          <cell r="B225" t="str">
            <v>Phan Thị Thanh Tuyền</v>
          </cell>
          <cell r="C225" t="str">
            <v>KTX080198007680</v>
          </cell>
          <cell r="D225" t="str">
            <v>080198007680</v>
          </cell>
          <cell r="E225" t="str">
            <v>E03, E02</v>
          </cell>
          <cell r="F225" t="str">
            <v>080198007680</v>
          </cell>
          <cell r="G225" t="b">
            <v>1</v>
          </cell>
          <cell r="H225" t="str">
            <v>15/04/2025 09:45:46</v>
          </cell>
          <cell r="I225" t="str">
            <v/>
          </cell>
          <cell r="J225" t="str">
            <v>image224.jpeg</v>
          </cell>
        </row>
        <row r="226">
          <cell r="B226" t="str">
            <v>Phan Thị Thu Thủy</v>
          </cell>
          <cell r="C226" t="str">
            <v>KTX052186011024</v>
          </cell>
          <cell r="D226" t="str">
            <v>052186011024</v>
          </cell>
          <cell r="E226" t="str">
            <v>E02, E03, BA2</v>
          </cell>
          <cell r="F226" t="str">
            <v>052186011024</v>
          </cell>
          <cell r="G226" t="b">
            <v>1</v>
          </cell>
          <cell r="H226" t="str">
            <v>23/02/2024 14:55:46</v>
          </cell>
          <cell r="I226" t="str">
            <v/>
          </cell>
          <cell r="J226" t="str">
            <v>image225.jpeg</v>
          </cell>
        </row>
        <row r="227">
          <cell r="B227" t="str">
            <v>Phan Văn Giang</v>
          </cell>
          <cell r="C227" t="str">
            <v>KTX040079004027</v>
          </cell>
          <cell r="D227" t="str">
            <v>040079004027</v>
          </cell>
          <cell r="E227" t="str">
            <v>C04, BA5, B04, E01, C01, D05, C05, C02, C06, C03, BA2, BA4, BA3, BA1, B03, D03, D02, D06, D04, B01, B02, B05, E02, E04, E03</v>
          </cell>
          <cell r="F227" t="str">
            <v>040079004027</v>
          </cell>
          <cell r="G227" t="b">
            <v>1</v>
          </cell>
          <cell r="H227" t="str">
            <v>28/03/2024 15:03:45</v>
          </cell>
          <cell r="I227" t="str">
            <v/>
          </cell>
          <cell r="J227" t="str">
            <v>image226.jpeg</v>
          </cell>
        </row>
        <row r="228">
          <cell r="B228" t="str">
            <v>Phan Văn Nhất</v>
          </cell>
          <cell r="C228" t="str">
            <v>KTX040071028917</v>
          </cell>
          <cell r="D228" t="str">
            <v>040071028917</v>
          </cell>
          <cell r="E228" t="str">
            <v>E03, E02</v>
          </cell>
          <cell r="F228" t="str">
            <v>040071028917</v>
          </cell>
          <cell r="G228" t="b">
            <v>1</v>
          </cell>
          <cell r="H228" t="str">
            <v>15/04/2025 09:45:46</v>
          </cell>
          <cell r="I228" t="str">
            <v/>
          </cell>
          <cell r="J228" t="str">
            <v>image227.jpeg</v>
          </cell>
        </row>
        <row r="229">
          <cell r="B229" t="str">
            <v>Phan Văn Thìn</v>
          </cell>
          <cell r="C229" t="str">
            <v>KTX079200025724</v>
          </cell>
          <cell r="D229" t="str">
            <v>079200025724</v>
          </cell>
          <cell r="E229" t="str">
            <v>E01, E02, E03, B01, B02, B03, B04, B05, BA1, BA2, BA3, BA4, BA5, C01, C02, C03, C04, C05, C06, D02, D03, D04, D05, D06, E04</v>
          </cell>
          <cell r="F229" t="str">
            <v>00313542874207</v>
          </cell>
          <cell r="G229" t="b">
            <v>1</v>
          </cell>
          <cell r="H229" t="str">
            <v>01/06/2024 12:11:46</v>
          </cell>
          <cell r="I229" t="str">
            <v/>
          </cell>
          <cell r="J229" t="str">
            <v>image228.jpeg</v>
          </cell>
        </row>
        <row r="230">
          <cell r="B230" t="str">
            <v>Phan Xuân Truyện</v>
          </cell>
          <cell r="C230" t="str">
            <v>KTX045083001473</v>
          </cell>
          <cell r="D230" t="str">
            <v>045083001473</v>
          </cell>
          <cell r="E230" t="str">
            <v>BA5, BA2, BA4, BA3, BA1, E03, E02</v>
          </cell>
          <cell r="F230" t="str">
            <v>045083001473</v>
          </cell>
          <cell r="G230" t="b">
            <v>1</v>
          </cell>
          <cell r="H230" t="str">
            <v>22/02/2024 15:55:07</v>
          </cell>
          <cell r="I230" t="str">
            <v/>
          </cell>
          <cell r="J230" t="str">
            <v>image229.jpeg</v>
          </cell>
        </row>
        <row r="231">
          <cell r="B231" t="str">
            <v>Phùng Anh Kiệt</v>
          </cell>
          <cell r="C231" t="str">
            <v>KTX082075008055</v>
          </cell>
          <cell r="D231" t="str">
            <v>082075008055</v>
          </cell>
          <cell r="E231" t="str">
            <v>C04, BA5, B04, E01, C01, D05, C05, C02, C06, C03, BA2, BA4, BA3, BA1, B03, D03, D02, D06, D04, B01, B02, B05, E04, E03, E02</v>
          </cell>
          <cell r="F231" t="str">
            <v>082075008055</v>
          </cell>
          <cell r="G231" t="b">
            <v>1</v>
          </cell>
          <cell r="H231" t="str">
            <v>31/03/2025 20:31:13</v>
          </cell>
          <cell r="I231" t="str">
            <v/>
          </cell>
          <cell r="J231" t="str">
            <v>image230.jpeg</v>
          </cell>
        </row>
        <row r="232">
          <cell r="B232" t="str">
            <v>Phùng Thị Hương Lan</v>
          </cell>
          <cell r="C232" t="str">
            <v>KTX034177018959</v>
          </cell>
          <cell r="D232" t="str">
            <v>034177018959</v>
          </cell>
          <cell r="E232" t="str">
            <v>C04, BA5, B04, E01, C01, D05, C05, C02, C06, C03, E02, BA2, BA4, BA3, BA1, B03, D03, D02, D06, D04, B01, B02, B05, E03, E04</v>
          </cell>
          <cell r="F232" t="str">
            <v>034177018959</v>
          </cell>
          <cell r="G232" t="b">
            <v>1</v>
          </cell>
          <cell r="H232" t="str">
            <v>22/02/2024 16:45:57</v>
          </cell>
          <cell r="I232" t="str">
            <v/>
          </cell>
          <cell r="J232" t="str">
            <v>image231.jpeg</v>
          </cell>
        </row>
        <row r="233">
          <cell r="B233" t="str">
            <v>Phùng Thị Kim Liên</v>
          </cell>
          <cell r="C233" t="str">
            <v>KTX025184011415</v>
          </cell>
          <cell r="D233" t="str">
            <v>025184011415</v>
          </cell>
          <cell r="E233" t="str">
            <v>E03, E02, B01, B02, B03, B04, B05, BA1, BA2, BA3, BA4, BA5, C01, C02, C03, C04, C05, C06, D02, D03, D04, D05, D06, E01, E04</v>
          </cell>
          <cell r="F233" t="str">
            <v>025184011415</v>
          </cell>
          <cell r="G233" t="b">
            <v>1</v>
          </cell>
          <cell r="H233" t="str">
            <v>03/02/2024 11:23:20</v>
          </cell>
          <cell r="I233" t="str">
            <v/>
          </cell>
          <cell r="J233" t="str">
            <v>image232.jpeg</v>
          </cell>
        </row>
        <row r="234">
          <cell r="B234" t="str">
            <v>Tăng Hữu Thủy</v>
          </cell>
          <cell r="C234" t="str">
            <v>KTX052074003255</v>
          </cell>
          <cell r="D234" t="str">
            <v>052074003255</v>
          </cell>
          <cell r="E234" t="str">
            <v>C04, BA5, B04, E01, C01, D05, C05, C02, C06, C03, BA2, BA4, BA3, BA1, B03, D03, D02, D06, D04, B01, B02, B05, E03, E02, E04</v>
          </cell>
          <cell r="F234" t="str">
            <v>052074003255</v>
          </cell>
          <cell r="G234" t="b">
            <v>1</v>
          </cell>
          <cell r="H234" t="str">
            <v>22/02/2024 16:45:23</v>
          </cell>
          <cell r="I234" t="str">
            <v/>
          </cell>
          <cell r="J234" t="str">
            <v>image233.jpeg</v>
          </cell>
        </row>
        <row r="235">
          <cell r="B235" t="str">
            <v>Tăng Thị Xuyến</v>
          </cell>
          <cell r="C235" t="str">
            <v>KTX040179014948</v>
          </cell>
          <cell r="D235" t="str">
            <v>040179014948</v>
          </cell>
          <cell r="E235" t="str">
            <v>C04, BA5, B04, E01, C01, D05, C05, C02, C06, C03, BA2, BA4, BA3, BA1, B03, D03, D02, D06, D04, B01, B02, B05, E02, E04, E03</v>
          </cell>
          <cell r="F235" t="str">
            <v>040179014948</v>
          </cell>
          <cell r="G235" t="b">
            <v>1</v>
          </cell>
          <cell r="H235" t="str">
            <v>28/03/2024 15:04:42</v>
          </cell>
          <cell r="I235" t="str">
            <v/>
          </cell>
          <cell r="J235" t="str">
            <v>image234.jpeg</v>
          </cell>
        </row>
        <row r="236">
          <cell r="B236" t="str">
            <v>Thạch Rợn</v>
          </cell>
          <cell r="C236" t="str">
            <v>KTX084073006061</v>
          </cell>
          <cell r="D236" t="str">
            <v>084073006061</v>
          </cell>
          <cell r="E236" t="str">
            <v>E03, E02</v>
          </cell>
          <cell r="F236" t="str">
            <v>084073006061</v>
          </cell>
          <cell r="G236" t="b">
            <v>1</v>
          </cell>
          <cell r="H236" t="str">
            <v>15/04/2025 09:45:46</v>
          </cell>
          <cell r="I236" t="str">
            <v/>
          </cell>
          <cell r="J236" t="str">
            <v>image235.jpeg</v>
          </cell>
        </row>
        <row r="237">
          <cell r="B237" t="str">
            <v>Thái Dương</v>
          </cell>
          <cell r="C237" t="str">
            <v>KTX042087005379</v>
          </cell>
          <cell r="D237" t="str">
            <v>042087005379</v>
          </cell>
          <cell r="E237" t="str">
            <v>E02, E03</v>
          </cell>
          <cell r="F237" t="str">
            <v>042087005379</v>
          </cell>
          <cell r="G237" t="b">
            <v>1</v>
          </cell>
          <cell r="H237" t="str">
            <v>06/03/2024 09:44:12</v>
          </cell>
          <cell r="I237" t="str">
            <v/>
          </cell>
          <cell r="J237" t="str">
            <v>image236.jpeg</v>
          </cell>
        </row>
        <row r="238">
          <cell r="B238" t="str">
            <v>Thái Văn Ngọc</v>
          </cell>
          <cell r="C238" t="str">
            <v>KTX074088005861</v>
          </cell>
          <cell r="D238" t="str">
            <v>074088005861</v>
          </cell>
          <cell r="E238" t="str">
            <v>E03, E02</v>
          </cell>
          <cell r="F238" t="str">
            <v>074088005861</v>
          </cell>
          <cell r="G238" t="b">
            <v>1</v>
          </cell>
          <cell r="H238" t="str">
            <v>15/04/2025 09:54:56</v>
          </cell>
          <cell r="I238" t="str">
            <v/>
          </cell>
          <cell r="J238" t="str">
            <v>image237.jpeg</v>
          </cell>
        </row>
        <row r="239">
          <cell r="B239" t="str">
            <v>Thân Minh Hoàng Ân</v>
          </cell>
          <cell r="C239" t="str">
            <v>KTX079067003508</v>
          </cell>
          <cell r="D239" t="str">
            <v>079067003508</v>
          </cell>
          <cell r="E239" t="str">
            <v>E02, E03</v>
          </cell>
          <cell r="F239" t="str">
            <v>079067003508</v>
          </cell>
          <cell r="G239" t="b">
            <v>1</v>
          </cell>
          <cell r="H239" t="str">
            <v>06/03/2024 09:44:46</v>
          </cell>
          <cell r="I239" t="str">
            <v/>
          </cell>
          <cell r="J239" t="str">
            <v>image238.jpeg</v>
          </cell>
        </row>
        <row r="240">
          <cell r="B240" t="str">
            <v>Trần Bá Bẩy</v>
          </cell>
          <cell r="C240" t="str">
            <v>KTX015068004225</v>
          </cell>
          <cell r="D240" t="str">
            <v>015068004225</v>
          </cell>
          <cell r="E240" t="str">
            <v>E03, E02</v>
          </cell>
          <cell r="F240" t="str">
            <v>015068004225</v>
          </cell>
          <cell r="G240" t="b">
            <v>1</v>
          </cell>
          <cell r="H240" t="str">
            <v>15/04/2025 09:45:46</v>
          </cell>
          <cell r="I240" t="str">
            <v/>
          </cell>
          <cell r="J240" t="str">
            <v>image239.jpeg</v>
          </cell>
        </row>
        <row r="241">
          <cell r="B241" t="str">
            <v>Trần Cao Cường</v>
          </cell>
          <cell r="C241" t="str">
            <v>KTX036086006308</v>
          </cell>
          <cell r="D241" t="str">
            <v>036086006308</v>
          </cell>
          <cell r="E241" t="str">
            <v>E02, E03</v>
          </cell>
          <cell r="F241" t="str">
            <v>036086006308</v>
          </cell>
          <cell r="G241" t="b">
            <v>1</v>
          </cell>
          <cell r="H241" t="str">
            <v>23/02/2024 14:51:20</v>
          </cell>
          <cell r="I241" t="str">
            <v/>
          </cell>
          <cell r="J241" t="str">
            <v>image240.jpeg</v>
          </cell>
        </row>
        <row r="242">
          <cell r="B242" t="str">
            <v>Trần Đình Nam</v>
          </cell>
          <cell r="C242" t="str">
            <v>KTX040074018091</v>
          </cell>
          <cell r="D242" t="str">
            <v>040074018091</v>
          </cell>
          <cell r="E242" t="str">
            <v>E02, E03, C04, BA5, B04, E01, C01, D05, C05, C02, C06, C03, BA2, BA4, BA3, BA1, B03, D03, D02, D06, D04, B01, B02, B05, E04</v>
          </cell>
          <cell r="F242" t="str">
            <v>040074018091</v>
          </cell>
          <cell r="G242" t="b">
            <v>1</v>
          </cell>
          <cell r="H242" t="str">
            <v>18/03/2024 09:58:17</v>
          </cell>
          <cell r="I242" t="str">
            <v/>
          </cell>
          <cell r="J242" t="str">
            <v>image241.jpeg</v>
          </cell>
        </row>
        <row r="243">
          <cell r="B243" t="str">
            <v>Trần Đình Tiến</v>
          </cell>
          <cell r="C243" t="str">
            <v>KTX038090004746</v>
          </cell>
          <cell r="D243" t="str">
            <v>038090004746</v>
          </cell>
          <cell r="E243" t="str">
            <v>BA5, BA2, BA4, BA3, BA1, E03, E02</v>
          </cell>
          <cell r="F243" t="str">
            <v>038090004746</v>
          </cell>
          <cell r="G243" t="b">
            <v>1</v>
          </cell>
          <cell r="H243" t="str">
            <v>22/02/2024 15:54:19</v>
          </cell>
          <cell r="I243" t="str">
            <v/>
          </cell>
          <cell r="J243" t="str">
            <v>image242.jpeg</v>
          </cell>
        </row>
        <row r="244">
          <cell r="B244" t="str">
            <v>Trần Đông Hải</v>
          </cell>
          <cell r="C244" t="str">
            <v>KTX001072023342</v>
          </cell>
          <cell r="D244" t="str">
            <v>001072023342</v>
          </cell>
          <cell r="E244" t="str">
            <v>E03, E02</v>
          </cell>
          <cell r="F244" t="str">
            <v>001072023342</v>
          </cell>
          <cell r="G244" t="b">
            <v>1</v>
          </cell>
          <cell r="H244" t="str">
            <v>02/11/2024 09:43:52</v>
          </cell>
          <cell r="I244" t="str">
            <v/>
          </cell>
          <cell r="J244" t="str">
            <v>image243.jpeg</v>
          </cell>
        </row>
        <row r="245">
          <cell r="B245" t="str">
            <v>Trần Hà Ân</v>
          </cell>
          <cell r="C245" t="str">
            <v>KTX079087032453</v>
          </cell>
          <cell r="D245" t="str">
            <v>079087032453</v>
          </cell>
          <cell r="E245" t="str">
            <v>C04, C01, C05, C02, C06, C03, E02, E03</v>
          </cell>
          <cell r="F245" t="str">
            <v>079087032453</v>
          </cell>
          <cell r="G245" t="b">
            <v>1</v>
          </cell>
          <cell r="H245" t="str">
            <v>26/02/2024 10:47:37</v>
          </cell>
          <cell r="I245" t="str">
            <v/>
          </cell>
          <cell r="J245" t="str">
            <v>image244.jpeg</v>
          </cell>
        </row>
        <row r="246">
          <cell r="B246" t="str">
            <v>Trần Hoàng Dũng</v>
          </cell>
          <cell r="C246" t="str">
            <v>KTX074083007494</v>
          </cell>
          <cell r="D246" t="str">
            <v>074083007494</v>
          </cell>
          <cell r="E246" t="str">
            <v>E03, E02</v>
          </cell>
          <cell r="F246" t="str">
            <v>074083007494</v>
          </cell>
          <cell r="G246" t="b">
            <v>1</v>
          </cell>
          <cell r="H246" t="str">
            <v>15/04/2025 09:54:56</v>
          </cell>
          <cell r="I246" t="str">
            <v/>
          </cell>
          <cell r="J246" t="str">
            <v>image245.jpeg</v>
          </cell>
        </row>
        <row r="247">
          <cell r="B247" t="str">
            <v>Trần Hoàng Kim</v>
          </cell>
          <cell r="C247" t="str">
            <v>KTX086184006875</v>
          </cell>
          <cell r="D247" t="str">
            <v>086184006875</v>
          </cell>
          <cell r="E247" t="str">
            <v>C04, BA5, B04, E01, C01, D05, C05, C02, C06, C03, BA2, BA4, BA3, BA1, B03, D03, D02, D06, D04, B01, B02, B05, E03, E02, E04</v>
          </cell>
          <cell r="F247" t="str">
            <v>086184006875</v>
          </cell>
          <cell r="G247" t="b">
            <v>1</v>
          </cell>
          <cell r="H247" t="str">
            <v>04/03/2024 11:00:09</v>
          </cell>
          <cell r="I247" t="str">
            <v/>
          </cell>
          <cell r="J247" t="str">
            <v>image246.jpeg</v>
          </cell>
        </row>
        <row r="248">
          <cell r="B248" t="str">
            <v>Trần Hữu Lâm</v>
          </cell>
          <cell r="C248" t="str">
            <v>KTX074080005785</v>
          </cell>
          <cell r="D248" t="str">
            <v>074080005785</v>
          </cell>
          <cell r="E248" t="str">
            <v>E02, E03</v>
          </cell>
          <cell r="F248" t="str">
            <v>074080005785</v>
          </cell>
          <cell r="G248" t="b">
            <v>1</v>
          </cell>
          <cell r="H248" t="str">
            <v>13/03/2024 13:25:52</v>
          </cell>
          <cell r="I248" t="str">
            <v/>
          </cell>
          <cell r="J248" t="str">
            <v>image247.jpeg</v>
          </cell>
        </row>
        <row r="249">
          <cell r="B249" t="str">
            <v>Trần Kim Hoàng</v>
          </cell>
          <cell r="C249" t="str">
            <v>KTX074093005297</v>
          </cell>
          <cell r="D249" t="str">
            <v>074093005297</v>
          </cell>
          <cell r="E249" t="str">
            <v>E03, E02</v>
          </cell>
          <cell r="F249" t="str">
            <v>074093005297</v>
          </cell>
          <cell r="G249" t="b">
            <v>1</v>
          </cell>
          <cell r="H249" t="str">
            <v>15/04/2025 09:54:56</v>
          </cell>
          <cell r="I249" t="str">
            <v/>
          </cell>
          <cell r="J249" t="str">
            <v>image248.jpeg</v>
          </cell>
        </row>
        <row r="250">
          <cell r="B250" t="str">
            <v>Trần Minh Thành</v>
          </cell>
          <cell r="C250" t="str">
            <v>KTX070092008110</v>
          </cell>
          <cell r="D250" t="str">
            <v>070092008110</v>
          </cell>
          <cell r="E250" t="str">
            <v>C04, BA5, B04, E01, C01, D05, C05, C02, C06, C03, BA2, BA4, BA3, BA1, B03, D03, D02, D06, D04, B01, B02, B05, E03, E02, E04</v>
          </cell>
          <cell r="F250" t="str">
            <v>070092008110</v>
          </cell>
          <cell r="G250" t="b">
            <v>1</v>
          </cell>
          <cell r="H250" t="str">
            <v>20/03/2024 14:27:02</v>
          </cell>
          <cell r="I250" t="str">
            <v/>
          </cell>
          <cell r="J250" t="str">
            <v>image249.jpeg</v>
          </cell>
        </row>
        <row r="251">
          <cell r="B251" t="str">
            <v>Trần Ngọc Huy</v>
          </cell>
          <cell r="C251" t="str">
            <v>KTX077200004686</v>
          </cell>
          <cell r="D251" t="str">
            <v>077200004686</v>
          </cell>
          <cell r="E251" t="str">
            <v>E03, E02, BA2</v>
          </cell>
          <cell r="F251" t="str">
            <v>077200004686</v>
          </cell>
          <cell r="G251" t="b">
            <v>1</v>
          </cell>
          <cell r="H251" t="str">
            <v>23/02/2024 14:58:55</v>
          </cell>
          <cell r="I251" t="str">
            <v/>
          </cell>
          <cell r="J251" t="str">
            <v>image250.jpeg</v>
          </cell>
        </row>
        <row r="252">
          <cell r="B252" t="str">
            <v>Trần Ngọc Tuấn</v>
          </cell>
          <cell r="C252" t="str">
            <v>KTX074094008793</v>
          </cell>
          <cell r="D252" t="str">
            <v>074094008793</v>
          </cell>
          <cell r="E252" t="str">
            <v>E03, E02</v>
          </cell>
          <cell r="F252" t="str">
            <v>074094008793</v>
          </cell>
          <cell r="G252" t="b">
            <v>1</v>
          </cell>
          <cell r="H252" t="str">
            <v>15/04/2025 09:54:56</v>
          </cell>
          <cell r="I252" t="str">
            <v/>
          </cell>
          <cell r="J252" t="str">
            <v>image251.jpeg</v>
          </cell>
        </row>
        <row r="253">
          <cell r="B253" t="str">
            <v>Trần Phạm Kim Dung</v>
          </cell>
          <cell r="C253" t="str">
            <v>KTX038187034586</v>
          </cell>
          <cell r="D253" t="str">
            <v>038187034586</v>
          </cell>
          <cell r="E253" t="str">
            <v>B04, B03, B01, B02, B05, E02, E03</v>
          </cell>
          <cell r="F253" t="str">
            <v>038187034586</v>
          </cell>
          <cell r="G253" t="b">
            <v>1</v>
          </cell>
          <cell r="H253" t="str">
            <v>01/03/2024 14:50:10</v>
          </cell>
          <cell r="I253" t="str">
            <v/>
          </cell>
          <cell r="J253" t="str">
            <v>image252.jpeg</v>
          </cell>
        </row>
        <row r="254">
          <cell r="B254" t="str">
            <v>Trần Thị Giàng</v>
          </cell>
          <cell r="C254" t="str">
            <v>KTX084173010354</v>
          </cell>
          <cell r="D254" t="str">
            <v>084173010354</v>
          </cell>
          <cell r="E254" t="str">
            <v>E03, E02</v>
          </cell>
          <cell r="F254" t="str">
            <v>084173010354</v>
          </cell>
          <cell r="G254" t="b">
            <v>1</v>
          </cell>
          <cell r="H254" t="str">
            <v>15/04/2025 09:45:46</v>
          </cell>
          <cell r="I254" t="str">
            <v/>
          </cell>
          <cell r="J254" t="str">
            <v>image253.jpeg</v>
          </cell>
        </row>
        <row r="255">
          <cell r="B255" t="str">
            <v>Trần Thị Kiều Trang</v>
          </cell>
          <cell r="C255" t="str">
            <v>KTX042198008174</v>
          </cell>
          <cell r="D255" t="str">
            <v>042198008174</v>
          </cell>
          <cell r="E255" t="str">
            <v>E02, E03</v>
          </cell>
          <cell r="F255" t="str">
            <v>042198008174</v>
          </cell>
          <cell r="G255" t="b">
            <v>1</v>
          </cell>
          <cell r="H255" t="str">
            <v>23/02/2024 14:56:26</v>
          </cell>
          <cell r="I255" t="str">
            <v/>
          </cell>
          <cell r="J255" t="str">
            <v>image254.jpeg</v>
          </cell>
        </row>
        <row r="256">
          <cell r="B256" t="str">
            <v>Trần Thị Kim Thi</v>
          </cell>
          <cell r="C256" t="str">
            <v>KTX051194010266</v>
          </cell>
          <cell r="D256" t="str">
            <v>051194010266</v>
          </cell>
          <cell r="E256" t="str">
            <v>E02, E03</v>
          </cell>
          <cell r="F256" t="str">
            <v>051194010266</v>
          </cell>
          <cell r="G256" t="b">
            <v>1</v>
          </cell>
          <cell r="H256" t="str">
            <v>23/02/2024 14:55:12</v>
          </cell>
          <cell r="I256" t="str">
            <v/>
          </cell>
          <cell r="J256" t="str">
            <v>image255.jpeg</v>
          </cell>
        </row>
        <row r="257">
          <cell r="B257" t="str">
            <v>Trần Thị Lệ Dung</v>
          </cell>
          <cell r="C257" t="str">
            <v>KTX079163035594</v>
          </cell>
          <cell r="D257" t="str">
            <v>079163035594</v>
          </cell>
          <cell r="E257" t="str">
            <v>E03, E02</v>
          </cell>
          <cell r="F257" t="str">
            <v>079163035594</v>
          </cell>
          <cell r="G257" t="b">
            <v>1</v>
          </cell>
          <cell r="H257" t="str">
            <v>16/04/2025 10:35:31</v>
          </cell>
          <cell r="I257" t="str">
            <v/>
          </cell>
          <cell r="J257" t="str">
            <v>image256.jpeg</v>
          </cell>
        </row>
        <row r="258">
          <cell r="B258" t="str">
            <v>Trần Thị Ngọc Nhung</v>
          </cell>
          <cell r="C258" t="str">
            <v>KTX082192002762</v>
          </cell>
          <cell r="D258" t="str">
            <v>082192002762</v>
          </cell>
          <cell r="E258" t="str">
            <v>E03, E02</v>
          </cell>
          <cell r="F258" t="str">
            <v>082192002762</v>
          </cell>
          <cell r="G258" t="b">
            <v>1</v>
          </cell>
          <cell r="H258" t="str">
            <v>22/02/2024 15:57:53</v>
          </cell>
          <cell r="I258" t="str">
            <v/>
          </cell>
          <cell r="J258" t="str">
            <v>image257.jpeg</v>
          </cell>
        </row>
        <row r="259">
          <cell r="B259" t="str">
            <v>Trần Thị Quỳnh Nga</v>
          </cell>
          <cell r="C259" t="str">
            <v>KTX046197012735</v>
          </cell>
          <cell r="D259" t="str">
            <v>046197012735</v>
          </cell>
          <cell r="E259" t="str">
            <v>E01, E02, E04, E03</v>
          </cell>
          <cell r="F259" t="str">
            <v>046197012735</v>
          </cell>
          <cell r="G259" t="b">
            <v>1</v>
          </cell>
          <cell r="H259" t="str">
            <v>06/03/2024 09:34:02</v>
          </cell>
          <cell r="I259" t="str">
            <v/>
          </cell>
          <cell r="J259" t="str">
            <v>image258.jpeg</v>
          </cell>
        </row>
        <row r="260">
          <cell r="B260" t="str">
            <v>Trần Thị Thanh Xuân</v>
          </cell>
          <cell r="C260" t="str">
            <v>KTX046199001297</v>
          </cell>
          <cell r="D260" t="str">
            <v>046199001297</v>
          </cell>
          <cell r="E260" t="str">
            <v>E03, E02</v>
          </cell>
          <cell r="F260" t="str">
            <v>046199001297</v>
          </cell>
          <cell r="G260" t="b">
            <v>1</v>
          </cell>
          <cell r="H260" t="str">
            <v>16/07/2024 16:27:19</v>
          </cell>
          <cell r="I260" t="str">
            <v/>
          </cell>
          <cell r="J260" t="str">
            <v>image259.jpeg</v>
          </cell>
        </row>
        <row r="261">
          <cell r="B261" t="str">
            <v>Trần Thị Thơ Thơ</v>
          </cell>
          <cell r="C261" t="str">
            <v>KTX037190015583</v>
          </cell>
          <cell r="D261" t="str">
            <v>037190015583</v>
          </cell>
          <cell r="E261" t="str">
            <v>C04, C01, C05, C02, C06, C03, E02, E03</v>
          </cell>
          <cell r="F261" t="str">
            <v>037190015583</v>
          </cell>
          <cell r="G261" t="b">
            <v>1</v>
          </cell>
          <cell r="H261" t="str">
            <v>26/02/2024 10:49:32</v>
          </cell>
          <cell r="I261" t="str">
            <v/>
          </cell>
          <cell r="J261" t="str">
            <v>image260.jpeg</v>
          </cell>
        </row>
        <row r="262">
          <cell r="B262" t="str">
            <v>Trần Thị Tuyết</v>
          </cell>
          <cell r="C262" t="str">
            <v>KTX054175002772</v>
          </cell>
          <cell r="D262" t="str">
            <v>054175002772</v>
          </cell>
          <cell r="E262" t="str">
            <v>E03, E02</v>
          </cell>
          <cell r="F262" t="str">
            <v>054175002772</v>
          </cell>
          <cell r="G262" t="b">
            <v>1</v>
          </cell>
          <cell r="H262" t="str">
            <v>22/02/2024 16:00:42</v>
          </cell>
          <cell r="I262" t="str">
            <v/>
          </cell>
          <cell r="J262" t="str">
            <v>image261.jpeg</v>
          </cell>
        </row>
        <row r="263">
          <cell r="B263" t="str">
            <v>Trần Thị Xuân</v>
          </cell>
          <cell r="C263" t="str">
            <v>KTX040182019239</v>
          </cell>
          <cell r="D263" t="str">
            <v>040182019239</v>
          </cell>
          <cell r="E263" t="str">
            <v>C04, BA5, B04, E01, C01, D05, C05, C02, C06, C03, BA2, BA4, BA3, BA1, B03, D03, D02, D06, D04, B01, B02, B05, E02, E04, E03</v>
          </cell>
          <cell r="F263" t="str">
            <v>040182019239</v>
          </cell>
          <cell r="G263" t="b">
            <v>1</v>
          </cell>
          <cell r="H263" t="str">
            <v>28/03/2024 14:59:06</v>
          </cell>
          <cell r="I263" t="str">
            <v/>
          </cell>
          <cell r="J263" t="str">
            <v>image262.jpeg</v>
          </cell>
        </row>
        <row r="264">
          <cell r="B264" t="str">
            <v>Trần Thị Yến</v>
          </cell>
          <cell r="C264" t="str">
            <v>KTX025183019868</v>
          </cell>
          <cell r="D264" t="str">
            <v>025183019868</v>
          </cell>
          <cell r="E264" t="str">
            <v>E01, E03, E02, E04</v>
          </cell>
          <cell r="F264" t="str">
            <v>025183019868</v>
          </cell>
          <cell r="G264" t="b">
            <v>1</v>
          </cell>
          <cell r="H264" t="str">
            <v>06/03/2024 09:32:40</v>
          </cell>
          <cell r="I264" t="str">
            <v/>
          </cell>
          <cell r="J264" t="str">
            <v>image263.jpeg</v>
          </cell>
        </row>
        <row r="265">
          <cell r="B265" t="str">
            <v>Trần Tiến</v>
          </cell>
          <cell r="C265" t="str">
            <v>KTX079087028591</v>
          </cell>
          <cell r="D265" t="str">
            <v>079087028591</v>
          </cell>
          <cell r="E265" t="str">
            <v>E01, E02, E04, E03</v>
          </cell>
          <cell r="F265" t="str">
            <v>079087028591</v>
          </cell>
          <cell r="G265" t="b">
            <v>1</v>
          </cell>
          <cell r="H265" t="str">
            <v>06/03/2024 09:33:30</v>
          </cell>
          <cell r="I265" t="str">
            <v/>
          </cell>
          <cell r="J265" t="str">
            <v>image264.jpeg</v>
          </cell>
        </row>
        <row r="266">
          <cell r="B266" t="str">
            <v>Trần Tiến Sỹ</v>
          </cell>
          <cell r="C266" t="str">
            <v>KTX074088007930</v>
          </cell>
          <cell r="D266" t="str">
            <v>074088007930</v>
          </cell>
          <cell r="E266" t="str">
            <v>E03, E02</v>
          </cell>
          <cell r="F266" t="str">
            <v>074088007930</v>
          </cell>
          <cell r="G266" t="b">
            <v>1</v>
          </cell>
          <cell r="H266" t="str">
            <v>15/04/2025 09:54:56</v>
          </cell>
          <cell r="I266" t="str">
            <v/>
          </cell>
          <cell r="J266" t="str">
            <v>image265.jpeg</v>
          </cell>
        </row>
        <row r="267">
          <cell r="B267" t="str">
            <v>Trần Văn Chuyền</v>
          </cell>
          <cell r="C267" t="str">
            <v>KTX046082030636</v>
          </cell>
          <cell r="D267" t="str">
            <v>046082030636</v>
          </cell>
          <cell r="E267" t="str">
            <v>C04, C01, C05, C02, C06, C03, E02, E03</v>
          </cell>
          <cell r="F267" t="str">
            <v>046082030636</v>
          </cell>
          <cell r="G267" t="b">
            <v>1</v>
          </cell>
          <cell r="H267" t="str">
            <v>04/03/2024 10:58:40</v>
          </cell>
          <cell r="I267" t="str">
            <v/>
          </cell>
          <cell r="J267" t="str">
            <v>image266.jpeg</v>
          </cell>
        </row>
        <row r="268">
          <cell r="B268" t="str">
            <v>Trần Văn Đạo</v>
          </cell>
          <cell r="C268" t="str">
            <v>KTX040092023599</v>
          </cell>
          <cell r="D268" t="str">
            <v>040092023599</v>
          </cell>
          <cell r="E268" t="str">
            <v>BA5, BA2, BA4, BA3, BA1, E03, E02</v>
          </cell>
          <cell r="F268" t="str">
            <v>040092023599</v>
          </cell>
          <cell r="G268" t="b">
            <v>1</v>
          </cell>
          <cell r="H268" t="str">
            <v>22/02/2024 15:54:44</v>
          </cell>
          <cell r="I268" t="str">
            <v/>
          </cell>
          <cell r="J268" t="str">
            <v>image267.jpeg</v>
          </cell>
        </row>
        <row r="269">
          <cell r="B269" t="str">
            <v>Trần Văn Khá</v>
          </cell>
          <cell r="C269" t="str">
            <v>KTX036075023391</v>
          </cell>
          <cell r="D269" t="str">
            <v>036075023391</v>
          </cell>
          <cell r="E269" t="str">
            <v>E03, E02</v>
          </cell>
          <cell r="F269" t="str">
            <v>036075023391</v>
          </cell>
          <cell r="G269" t="b">
            <v>1</v>
          </cell>
          <cell r="H269" t="str">
            <v>15/04/2025 09:54:56</v>
          </cell>
          <cell r="I269" t="str">
            <v/>
          </cell>
          <cell r="J269" t="str">
            <v>image268.jpeg</v>
          </cell>
        </row>
        <row r="270">
          <cell r="B270" t="str">
            <v>Trần Văn Nhực</v>
          </cell>
          <cell r="C270" t="str">
            <v>KTX049093015831</v>
          </cell>
          <cell r="D270" t="str">
            <v>049093015831</v>
          </cell>
          <cell r="E270" t="str">
            <v>B04, B03, B01, B02, B05, E02, E03</v>
          </cell>
          <cell r="F270" t="str">
            <v>049093015831</v>
          </cell>
          <cell r="G270" t="b">
            <v>1</v>
          </cell>
          <cell r="H270" t="str">
            <v>23/02/2024 15:52:43</v>
          </cell>
          <cell r="I270" t="str">
            <v/>
          </cell>
          <cell r="J270" t="str">
            <v>image269.jpeg</v>
          </cell>
        </row>
        <row r="271">
          <cell r="B271" t="str">
            <v>Trần Văn Quỳ</v>
          </cell>
          <cell r="C271" t="str">
            <v>KTX084076003020</v>
          </cell>
          <cell r="D271" t="str">
            <v>084076003020</v>
          </cell>
          <cell r="E271" t="str">
            <v>C04, BA5, B04, E01, C01, D05, C05, C02, C06, C03, BA2, BA4, BA3, BA1, B03, D03, D02, D06, D04, B01, B02, B05, E03, E02, E04</v>
          </cell>
          <cell r="F271" t="str">
            <v>084076003020</v>
          </cell>
          <cell r="G271" t="b">
            <v>1</v>
          </cell>
          <cell r="H271" t="str">
            <v>04/03/2024 11:08:01</v>
          </cell>
          <cell r="I271" t="str">
            <v/>
          </cell>
          <cell r="J271" t="str">
            <v>image270.jpeg</v>
          </cell>
        </row>
        <row r="272">
          <cell r="B272" t="str">
            <v>Trần Xuân Thanh</v>
          </cell>
          <cell r="C272" t="str">
            <v>KTX074080002967</v>
          </cell>
          <cell r="D272" t="str">
            <v>074080002967</v>
          </cell>
          <cell r="E272" t="str">
            <v>C04, BA5, B04, E01, C01, D05, C05, C02, C06, C03, BA2, BA4, BA3, BA1, B03, D03, D02, D06, D04, B01, B02, B05, E03, E02, E04</v>
          </cell>
          <cell r="F272" t="str">
            <v>074080002967</v>
          </cell>
          <cell r="G272" t="b">
            <v>1</v>
          </cell>
          <cell r="H272" t="str">
            <v>26/02/2024 13:32:24</v>
          </cell>
          <cell r="I272" t="str">
            <v/>
          </cell>
          <cell r="J272" t="str">
            <v>image271.jpeg</v>
          </cell>
        </row>
        <row r="273">
          <cell r="B273" t="str">
            <v>Trịnh Phương Thảo</v>
          </cell>
          <cell r="C273" t="str">
            <v>KTX038181017298</v>
          </cell>
          <cell r="D273" t="str">
            <v>038181017298</v>
          </cell>
          <cell r="E273" t="str">
            <v>C04, BA5, B04, E01, C01, D05, C05, C02, C06, C03, BA2, BA4, BA3, BA1, B03, D03, D02, D06, D04, B01, B02, B05, E03, E02, E04</v>
          </cell>
          <cell r="F273" t="str">
            <v>038181017298</v>
          </cell>
          <cell r="G273" t="b">
            <v>1</v>
          </cell>
          <cell r="H273" t="str">
            <v>29/02/2024 13:48:23</v>
          </cell>
          <cell r="I273" t="str">
            <v/>
          </cell>
          <cell r="J273" t="str">
            <v>image272.jpeg</v>
          </cell>
        </row>
        <row r="274">
          <cell r="B274" t="str">
            <v>Trịnh Quang Tri</v>
          </cell>
          <cell r="C274" t="str">
            <v>KTX087084012540</v>
          </cell>
          <cell r="D274" t="str">
            <v>087084012540</v>
          </cell>
          <cell r="E274" t="str">
            <v>E02, E03</v>
          </cell>
          <cell r="F274" t="str">
            <v>087084012540</v>
          </cell>
          <cell r="G274" t="b">
            <v>1</v>
          </cell>
          <cell r="H274" t="str">
            <v>23/02/2024 16:04:35</v>
          </cell>
          <cell r="I274" t="str">
            <v/>
          </cell>
          <cell r="J274" t="str">
            <v>image273.jpeg</v>
          </cell>
        </row>
        <row r="275">
          <cell r="B275" t="str">
            <v>Trịnh Quốc Bộ</v>
          </cell>
          <cell r="C275" t="str">
            <v>KTX038069025377</v>
          </cell>
          <cell r="D275" t="str">
            <v>038069025377</v>
          </cell>
          <cell r="E275" t="str">
            <v>E02, E03</v>
          </cell>
          <cell r="F275" t="str">
            <v>038069025377</v>
          </cell>
          <cell r="G275" t="b">
            <v>1</v>
          </cell>
          <cell r="H275" t="str">
            <v>06/03/2024 09:49:50</v>
          </cell>
          <cell r="I275" t="str">
            <v/>
          </cell>
          <cell r="J275" t="str">
            <v>image274.jpeg</v>
          </cell>
        </row>
        <row r="276">
          <cell r="B276" t="str">
            <v>Trịnh Văn Chung</v>
          </cell>
          <cell r="C276" t="str">
            <v>KTX038076011745</v>
          </cell>
          <cell r="D276" t="str">
            <v>038076011745</v>
          </cell>
          <cell r="E276" t="str">
            <v>C04, BA5, B04, E01, C01, D05, C05, C02, C06, C03, BA2, BA4, BA3, BA1, B03, D03, D02, D06, D04, B01, B02, B05, E03, E02, E04</v>
          </cell>
          <cell r="F276" t="str">
            <v>038076011745</v>
          </cell>
          <cell r="G276" t="b">
            <v>1</v>
          </cell>
          <cell r="H276" t="str">
            <v>04/03/2024 11:06:54</v>
          </cell>
          <cell r="I276" t="str">
            <v/>
          </cell>
          <cell r="J276" t="str">
            <v>image275.jpeg</v>
          </cell>
        </row>
        <row r="277">
          <cell r="B277" t="str">
            <v>TRỊNH VĂN ĐỊNH</v>
          </cell>
          <cell r="C277" t="str">
            <v>KTX038074014334</v>
          </cell>
          <cell r="D277" t="str">
            <v>038074014334</v>
          </cell>
          <cell r="E277" t="str">
            <v>C04, BA5, B04, E01, C01, D05, C05, E02, C02, C06, C03, BA2, BA4, BA3, BA1, B03, D03, D02, D06, D04, B01, B02, B05, E03, E04</v>
          </cell>
          <cell r="F277" t="str">
            <v>038074014334</v>
          </cell>
          <cell r="G277" t="b">
            <v>1</v>
          </cell>
          <cell r="H277" t="str">
            <v>29/02/2024 14:20:54</v>
          </cell>
          <cell r="I277" t="str">
            <v/>
          </cell>
          <cell r="J277" t="str">
            <v>image276.jpeg</v>
          </cell>
        </row>
        <row r="278">
          <cell r="B278" t="str">
            <v>Trịnh Văn Giang</v>
          </cell>
          <cell r="C278" t="str">
            <v>KTX038081005289</v>
          </cell>
          <cell r="D278" t="str">
            <v>038081005289</v>
          </cell>
          <cell r="E278" t="str">
            <v>E01, E02, E04, E03</v>
          </cell>
          <cell r="F278" t="str">
            <v>038081005289</v>
          </cell>
          <cell r="G278" t="b">
            <v>1</v>
          </cell>
          <cell r="H278" t="str">
            <v>06/03/2024 09:35:27</v>
          </cell>
          <cell r="I278" t="str">
            <v/>
          </cell>
          <cell r="J278" t="str">
            <v>image277.jpeg</v>
          </cell>
        </row>
        <row r="279">
          <cell r="B279" t="str">
            <v>Trương Hoàng Ngân</v>
          </cell>
          <cell r="C279" t="str">
            <v>KTX083199009430</v>
          </cell>
          <cell r="D279" t="str">
            <v>083199009430</v>
          </cell>
          <cell r="E279" t="str">
            <v>E03, E02, B01, B02, B03, B04, B05, BA1, BA2, BA3, BA4, BA5, C01, C02, C03, C04, C05, C06, D02, D03, D04, D05, D06, E01, E04</v>
          </cell>
          <cell r="F279" t="str">
            <v>083199009430</v>
          </cell>
          <cell r="G279" t="b">
            <v>1</v>
          </cell>
          <cell r="H279" t="str">
            <v>04/06/2024 15:24:57</v>
          </cell>
          <cell r="I279" t="str">
            <v/>
          </cell>
          <cell r="J279" t="str">
            <v>image278.jpeg</v>
          </cell>
        </row>
        <row r="280">
          <cell r="B280" t="str">
            <v>Trương Quang Thanh</v>
          </cell>
          <cell r="C280" t="str">
            <v>KTX038070008555</v>
          </cell>
          <cell r="D280" t="str">
            <v>038070008555</v>
          </cell>
          <cell r="E280" t="str">
            <v>C04, C01, C05, C02, C06, C03, E02, E03</v>
          </cell>
          <cell r="F280" t="str">
            <v>038070008555</v>
          </cell>
          <cell r="G280" t="b">
            <v>1</v>
          </cell>
          <cell r="H280" t="str">
            <v>23/02/2024 15:33:12</v>
          </cell>
          <cell r="I280" t="str">
            <v/>
          </cell>
          <cell r="J280" t="str">
            <v>image279.jpeg</v>
          </cell>
        </row>
        <row r="281">
          <cell r="B281" t="str">
            <v>Trương Thị Hoài</v>
          </cell>
          <cell r="C281" t="str">
            <v>KTX038195006559</v>
          </cell>
          <cell r="D281" t="str">
            <v>038195006559</v>
          </cell>
          <cell r="E281" t="str">
            <v>E02, E03</v>
          </cell>
          <cell r="F281" t="str">
            <v>038195006559</v>
          </cell>
          <cell r="G281" t="b">
            <v>1</v>
          </cell>
          <cell r="H281" t="str">
            <v>13/03/2024 13:26:13</v>
          </cell>
          <cell r="I281" t="str">
            <v/>
          </cell>
          <cell r="J281" t="str">
            <v>image280.jpeg</v>
          </cell>
        </row>
        <row r="282">
          <cell r="B282" t="str">
            <v>Trương Thị Lời</v>
          </cell>
          <cell r="C282" t="str">
            <v>KTX052191020632</v>
          </cell>
          <cell r="D282" t="str">
            <v>052191020632</v>
          </cell>
          <cell r="E282" t="str">
            <v>E02, E03</v>
          </cell>
          <cell r="F282" t="str">
            <v>052191020632</v>
          </cell>
          <cell r="G282" t="b">
            <v>1</v>
          </cell>
          <cell r="H282" t="str">
            <v>23/02/2024 14:49:50</v>
          </cell>
          <cell r="I282" t="str">
            <v/>
          </cell>
          <cell r="J282" t="str">
            <v>image281.jpeg</v>
          </cell>
        </row>
        <row r="283">
          <cell r="B283" t="str">
            <v>Trương Văn Sang</v>
          </cell>
          <cell r="C283" t="str">
            <v>KTX049093011992</v>
          </cell>
          <cell r="D283" t="str">
            <v>049093011992</v>
          </cell>
          <cell r="E283" t="str">
            <v>C04, BA5, B04, E01, C01, D05, C05, C02, C06, C03, BA2, BA4, BA3, BA1, B03, D03, D02, D06, D04, B01, B02, B05, E02, E04, E03</v>
          </cell>
          <cell r="F283" t="str">
            <v>049093011992</v>
          </cell>
          <cell r="G283" t="b">
            <v>1</v>
          </cell>
          <cell r="H283" t="str">
            <v>23/02/2024 16:01:09</v>
          </cell>
          <cell r="I283" t="str">
            <v/>
          </cell>
          <cell r="J283" t="str">
            <v>image282.jpeg</v>
          </cell>
        </row>
        <row r="284">
          <cell r="B284" t="str">
            <v>Văn Hoàng Toàn</v>
          </cell>
          <cell r="C284" t="str">
            <v>KTX074086008799</v>
          </cell>
          <cell r="D284" t="str">
            <v>074086008799</v>
          </cell>
          <cell r="E284" t="str">
            <v>E03, E02</v>
          </cell>
          <cell r="F284" t="str">
            <v>074086008799</v>
          </cell>
          <cell r="G284" t="b">
            <v>1</v>
          </cell>
          <cell r="H284" t="str">
            <v>15/04/2025 09:54:56</v>
          </cell>
          <cell r="I284" t="str">
            <v/>
          </cell>
          <cell r="J284" t="str">
            <v>image283.jpeg</v>
          </cell>
        </row>
        <row r="285">
          <cell r="B285" t="str">
            <v>Võ Hồng Sinh</v>
          </cell>
          <cell r="C285" t="str">
            <v>KTX075070005354</v>
          </cell>
          <cell r="D285" t="str">
            <v>075070005354</v>
          </cell>
          <cell r="E285" t="str">
            <v>E03, E02</v>
          </cell>
          <cell r="F285" t="str">
            <v>075070005354</v>
          </cell>
          <cell r="G285" t="b">
            <v>1</v>
          </cell>
          <cell r="H285" t="str">
            <v>15/04/2025 09:54:56</v>
          </cell>
          <cell r="I285" t="str">
            <v/>
          </cell>
          <cell r="J285" t="str">
            <v>image284.jpeg</v>
          </cell>
        </row>
        <row r="286">
          <cell r="B286" t="str">
            <v>Võ Ngọc Hải</v>
          </cell>
          <cell r="C286" t="str">
            <v>KTX062083004110</v>
          </cell>
          <cell r="D286" t="str">
            <v>062083004110</v>
          </cell>
          <cell r="E286" t="str">
            <v>C04, C01, C05, C02, C06, C03, E03, E02, B01, B02, B03, B04, B05, BA1, BA2, BA3, BA4, BA5, D02, D03, D04, D05, D06, E01, E04</v>
          </cell>
          <cell r="F286" t="str">
            <v>062083004110</v>
          </cell>
          <cell r="G286" t="b">
            <v>1</v>
          </cell>
          <cell r="H286" t="str">
            <v>23/02/2024 15:56:56</v>
          </cell>
          <cell r="I286" t="str">
            <v/>
          </cell>
          <cell r="J286" t="str">
            <v>image285.jpeg</v>
          </cell>
        </row>
        <row r="287">
          <cell r="B287" t="str">
            <v>Võ Thị Hằng</v>
          </cell>
          <cell r="C287" t="str">
            <v>KTX079176026378</v>
          </cell>
          <cell r="D287" t="str">
            <v>079176026378</v>
          </cell>
          <cell r="E287" t="str">
            <v>E02, E03</v>
          </cell>
          <cell r="F287" t="str">
            <v>079176026378</v>
          </cell>
          <cell r="G287" t="b">
            <v>1</v>
          </cell>
          <cell r="H287" t="str">
            <v>23/02/2024 16:04:18</v>
          </cell>
          <cell r="I287" t="str">
            <v/>
          </cell>
          <cell r="J287" t="str">
            <v>image286.jpeg</v>
          </cell>
        </row>
        <row r="288">
          <cell r="B288" t="str">
            <v>Võ Thị Hiền</v>
          </cell>
          <cell r="C288" t="str">
            <v>KTX040189018098</v>
          </cell>
          <cell r="D288" t="str">
            <v>040189018098</v>
          </cell>
          <cell r="E288" t="str">
            <v>E03, E02</v>
          </cell>
          <cell r="F288" t="str">
            <v>040189018098</v>
          </cell>
          <cell r="G288" t="b">
            <v>1</v>
          </cell>
          <cell r="H288" t="str">
            <v>15/04/2025 09:45:46</v>
          </cell>
          <cell r="I288" t="str">
            <v/>
          </cell>
          <cell r="J288" t="str">
            <v>image287.jpeg</v>
          </cell>
        </row>
        <row r="289">
          <cell r="B289" t="str">
            <v>Võ Thị Huyền</v>
          </cell>
          <cell r="C289" t="str">
            <v>KTX044197006714</v>
          </cell>
          <cell r="D289" t="str">
            <v>044197006714</v>
          </cell>
          <cell r="E289" t="str">
            <v>E03, E02</v>
          </cell>
          <cell r="F289" t="str">
            <v>044197006714</v>
          </cell>
          <cell r="G289" t="b">
            <v>1</v>
          </cell>
          <cell r="H289" t="str">
            <v>22/02/2024 15:59:41</v>
          </cell>
          <cell r="I289" t="str">
            <v/>
          </cell>
          <cell r="J289" t="str">
            <v>image288.jpeg</v>
          </cell>
        </row>
        <row r="290">
          <cell r="B290" t="str">
            <v>Võ Thị Như Muội</v>
          </cell>
          <cell r="C290" t="str">
            <v>KTX083300006806</v>
          </cell>
          <cell r="D290" t="str">
            <v>083300006806</v>
          </cell>
          <cell r="E290" t="str">
            <v>E01, E02, E04, E03</v>
          </cell>
          <cell r="F290" t="str">
            <v>083300006806</v>
          </cell>
          <cell r="G290" t="b">
            <v>1</v>
          </cell>
          <cell r="H290" t="str">
            <v>06/03/2024 09:36:08</v>
          </cell>
          <cell r="I290" t="str">
            <v/>
          </cell>
          <cell r="J290" t="str">
            <v>image289.jpeg</v>
          </cell>
        </row>
        <row r="291">
          <cell r="B291" t="str">
            <v>Võ Thị Thanh Lan</v>
          </cell>
          <cell r="C291" t="str">
            <v>KTX064180005336</v>
          </cell>
          <cell r="D291" t="str">
            <v>064180005336</v>
          </cell>
          <cell r="E291" t="str">
            <v>E02, E03</v>
          </cell>
          <cell r="F291" t="str">
            <v>064180005336</v>
          </cell>
          <cell r="G291" t="b">
            <v>1</v>
          </cell>
          <cell r="H291" t="str">
            <v>23/02/2024 14:49:06</v>
          </cell>
          <cell r="I291" t="str">
            <v/>
          </cell>
          <cell r="J291" t="str">
            <v>image290.jpeg</v>
          </cell>
        </row>
        <row r="292">
          <cell r="B292" t="str">
            <v>Vũ Đức Trọng</v>
          </cell>
          <cell r="C292" t="str">
            <v>KTX001073041517</v>
          </cell>
          <cell r="D292" t="str">
            <v>001073041517</v>
          </cell>
          <cell r="E292" t="str">
            <v>BA5, BA2, BA4, BA3, BA1, E03, E02, B01, B02, B03, B04, B05, C01, C02, C03, C04, C05, C06, D02, D03, D04, D05, D06, E01, E04</v>
          </cell>
          <cell r="F292" t="str">
            <v>001073041517</v>
          </cell>
          <cell r="G292" t="b">
            <v>1</v>
          </cell>
          <cell r="H292" t="str">
            <v>10/02/2025 09:01:04</v>
          </cell>
          <cell r="I292" t="str">
            <v/>
          </cell>
          <cell r="J292" t="str">
            <v>image291.jpeg</v>
          </cell>
        </row>
        <row r="293">
          <cell r="B293" t="str">
            <v>Vũ Thị Chinh</v>
          </cell>
          <cell r="C293" t="str">
            <v>KTX037184012609</v>
          </cell>
          <cell r="D293" t="str">
            <v>037184012609</v>
          </cell>
          <cell r="E293" t="str">
            <v>E03, E02</v>
          </cell>
          <cell r="F293" t="str">
            <v>037184012609</v>
          </cell>
          <cell r="G293" t="b">
            <v>1</v>
          </cell>
          <cell r="H293" t="str">
            <v>15/04/2025 09:45:46</v>
          </cell>
          <cell r="I293" t="str">
            <v/>
          </cell>
          <cell r="J293" t="str">
            <v>image292.jpeg</v>
          </cell>
        </row>
        <row r="294">
          <cell r="B294" t="str">
            <v>Vũ Văn Vĩnh</v>
          </cell>
          <cell r="C294" t="str">
            <v>KTX036071005210</v>
          </cell>
          <cell r="D294" t="str">
            <v>036071005210</v>
          </cell>
          <cell r="E294" t="str">
            <v>D05, D03, D02, D06, D04</v>
          </cell>
          <cell r="F294" t="str">
            <v>036071005210</v>
          </cell>
          <cell r="G294" t="b">
            <v>1</v>
          </cell>
          <cell r="H294" t="str">
            <v>28/02/2024 14:29:12</v>
          </cell>
          <cell r="I294" t="str">
            <v/>
          </cell>
          <cell r="J294" t="str">
            <v>image293.jpeg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dtthuy@ktxhcm.edu.vn" TargetMode="External"/><Relationship Id="rId2" Type="http://schemas.openxmlformats.org/officeDocument/2006/relationships/hyperlink" Target="mailto:nhlan@ktxhcm.edu.vn" TargetMode="External"/><Relationship Id="rId1" Type="http://schemas.openxmlformats.org/officeDocument/2006/relationships/hyperlink" Target="mailto:vtnmuoi@ktxhcm.edu.vn" TargetMode="Externa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ptkthuong@ktxhcm.edu.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574F-6D65-4D7B-8EB8-CEE91D030EAD}">
  <dimension ref="A1:G125"/>
  <sheetViews>
    <sheetView tabSelected="1" topLeftCell="A76" zoomScale="130" zoomScaleNormal="130" workbookViewId="0">
      <selection activeCell="D130" sqref="D130"/>
    </sheetView>
  </sheetViews>
  <sheetFormatPr defaultRowHeight="16.5"/>
  <cols>
    <col min="1" max="1" width="5.5703125" style="54" bestFit="1" customWidth="1"/>
    <col min="2" max="2" width="27.7109375" style="58" customWidth="1"/>
    <col min="3" max="3" width="19.85546875" style="28" bestFit="1" customWidth="1"/>
    <col min="4" max="4" width="30.28515625" style="54" bestFit="1" customWidth="1"/>
    <col min="5" max="5" width="10.28515625" style="28" bestFit="1" customWidth="1"/>
    <col min="6" max="6" width="15.85546875" style="54" bestFit="1" customWidth="1"/>
    <col min="7" max="7" width="13.140625" style="54" bestFit="1" customWidth="1"/>
  </cols>
  <sheetData>
    <row r="1" spans="1:7" s="53" customFormat="1">
      <c r="A1" s="51" t="s">
        <v>404</v>
      </c>
      <c r="B1" s="57" t="s">
        <v>0</v>
      </c>
      <c r="C1" s="51" t="s">
        <v>1</v>
      </c>
      <c r="D1" s="51" t="s">
        <v>2</v>
      </c>
      <c r="E1" s="51" t="s">
        <v>3</v>
      </c>
      <c r="F1" s="51" t="s">
        <v>153</v>
      </c>
      <c r="G1" s="52" t="s">
        <v>407</v>
      </c>
    </row>
    <row r="2" spans="1:7">
      <c r="A2" s="25">
        <v>1</v>
      </c>
      <c r="B2" s="4" t="s">
        <v>7</v>
      </c>
      <c r="C2" s="3" t="e">
        <v>#N/A</v>
      </c>
      <c r="D2" s="25" t="s">
        <v>49</v>
      </c>
      <c r="E2" s="5" t="s">
        <v>64</v>
      </c>
      <c r="F2" s="5" t="s">
        <v>105</v>
      </c>
    </row>
    <row r="3" spans="1:7">
      <c r="A3" s="25">
        <v>2</v>
      </c>
      <c r="B3" s="6" t="s">
        <v>8</v>
      </c>
      <c r="C3" s="3" t="e">
        <v>#N/A</v>
      </c>
      <c r="D3" s="25" t="s">
        <v>49</v>
      </c>
      <c r="E3" s="5" t="s">
        <v>65</v>
      </c>
      <c r="F3" s="5" t="s">
        <v>106</v>
      </c>
    </row>
    <row r="4" spans="1:7">
      <c r="A4" s="25">
        <v>3</v>
      </c>
      <c r="B4" s="6" t="s">
        <v>9</v>
      </c>
      <c r="C4" s="3" t="e">
        <v>#N/A</v>
      </c>
      <c r="D4" s="25" t="s">
        <v>49</v>
      </c>
      <c r="E4" s="5" t="s">
        <v>66</v>
      </c>
      <c r="F4" s="5" t="s">
        <v>107</v>
      </c>
    </row>
    <row r="5" spans="1:7">
      <c r="A5" s="25">
        <v>4</v>
      </c>
      <c r="B5" s="6" t="s">
        <v>10</v>
      </c>
      <c r="C5" s="3" t="e">
        <v>#N/A</v>
      </c>
      <c r="D5" s="25" t="s">
        <v>49</v>
      </c>
      <c r="E5" s="5" t="s">
        <v>405</v>
      </c>
      <c r="F5" s="5" t="s">
        <v>108</v>
      </c>
    </row>
    <row r="6" spans="1:7">
      <c r="A6" s="25">
        <v>5</v>
      </c>
      <c r="B6" s="6" t="s">
        <v>11</v>
      </c>
      <c r="C6" s="3" t="e">
        <v>#N/A</v>
      </c>
      <c r="D6" s="25" t="s">
        <v>49</v>
      </c>
      <c r="E6" s="5" t="s">
        <v>67</v>
      </c>
      <c r="F6" s="5" t="s">
        <v>109</v>
      </c>
    </row>
    <row r="7" spans="1:7">
      <c r="A7" s="25">
        <v>6</v>
      </c>
      <c r="B7" s="6" t="s">
        <v>12</v>
      </c>
      <c r="C7" s="3" t="e">
        <v>#N/A</v>
      </c>
      <c r="D7" s="25" t="s">
        <v>49</v>
      </c>
      <c r="E7" s="5" t="s">
        <v>68</v>
      </c>
      <c r="F7" s="5" t="s">
        <v>1860</v>
      </c>
    </row>
    <row r="8" spans="1:7">
      <c r="A8" s="25">
        <v>7</v>
      </c>
      <c r="B8" s="6" t="s">
        <v>13</v>
      </c>
      <c r="C8" s="3" t="s">
        <v>1833</v>
      </c>
      <c r="D8" s="2" t="s">
        <v>50</v>
      </c>
      <c r="E8" s="5" t="s">
        <v>422</v>
      </c>
      <c r="F8" s="5" t="s">
        <v>1861</v>
      </c>
    </row>
    <row r="9" spans="1:7">
      <c r="A9" s="25">
        <v>8</v>
      </c>
      <c r="B9" s="32" t="s">
        <v>14</v>
      </c>
      <c r="C9" s="36" t="s">
        <v>1856</v>
      </c>
      <c r="D9" s="33" t="s">
        <v>50</v>
      </c>
      <c r="E9" s="12" t="s">
        <v>408</v>
      </c>
      <c r="F9" s="12" t="s">
        <v>111</v>
      </c>
      <c r="G9" s="54" t="s">
        <v>406</v>
      </c>
    </row>
    <row r="10" spans="1:7">
      <c r="A10" s="25">
        <v>9</v>
      </c>
      <c r="B10" s="4" t="s">
        <v>15</v>
      </c>
      <c r="C10" s="3" t="s">
        <v>1841</v>
      </c>
      <c r="D10" s="2" t="s">
        <v>50</v>
      </c>
      <c r="E10" s="5" t="s">
        <v>423</v>
      </c>
      <c r="F10" s="5" t="s">
        <v>112</v>
      </c>
    </row>
    <row r="11" spans="1:7">
      <c r="A11" s="25">
        <v>10</v>
      </c>
      <c r="B11" s="4" t="s">
        <v>16</v>
      </c>
      <c r="C11" s="3" t="s">
        <v>1845</v>
      </c>
      <c r="D11" s="2" t="s">
        <v>50</v>
      </c>
      <c r="E11" s="5" t="s">
        <v>425</v>
      </c>
      <c r="F11" s="5" t="s">
        <v>113</v>
      </c>
    </row>
    <row r="12" spans="1:7">
      <c r="A12" s="25">
        <v>11</v>
      </c>
      <c r="B12" s="4" t="s">
        <v>17</v>
      </c>
      <c r="C12" s="3" t="s">
        <v>1837</v>
      </c>
      <c r="D12" s="2" t="s">
        <v>50</v>
      </c>
      <c r="E12" s="5" t="s">
        <v>424</v>
      </c>
      <c r="F12" s="5" t="s">
        <v>114</v>
      </c>
    </row>
    <row r="13" spans="1:7">
      <c r="A13" s="25">
        <v>12</v>
      </c>
      <c r="B13" s="4" t="s">
        <v>168</v>
      </c>
      <c r="C13" s="3" t="s">
        <v>1807</v>
      </c>
      <c r="D13" s="2" t="s">
        <v>50</v>
      </c>
      <c r="E13" s="5" t="s">
        <v>427</v>
      </c>
      <c r="F13" s="5" t="s">
        <v>1862</v>
      </c>
    </row>
    <row r="14" spans="1:7">
      <c r="A14" s="25">
        <v>13</v>
      </c>
      <c r="B14" s="4" t="s">
        <v>170</v>
      </c>
      <c r="C14" s="55" t="s">
        <v>1854</v>
      </c>
      <c r="D14" s="2" t="s">
        <v>50</v>
      </c>
      <c r="E14" s="5" t="s">
        <v>428</v>
      </c>
      <c r="F14" s="5" t="s">
        <v>1863</v>
      </c>
    </row>
    <row r="15" spans="1:7">
      <c r="A15" s="25">
        <v>14</v>
      </c>
      <c r="B15" s="4" t="s">
        <v>172</v>
      </c>
      <c r="C15" s="3" t="s">
        <v>1571</v>
      </c>
      <c r="D15" s="2" t="s">
        <v>50</v>
      </c>
      <c r="E15" s="5" t="s">
        <v>431</v>
      </c>
      <c r="F15" s="5" t="s">
        <v>1864</v>
      </c>
    </row>
    <row r="16" spans="1:7">
      <c r="A16" s="25">
        <v>15</v>
      </c>
      <c r="B16" s="4" t="s">
        <v>174</v>
      </c>
      <c r="C16" s="3" t="s">
        <v>1820</v>
      </c>
      <c r="D16" s="2" t="s">
        <v>50</v>
      </c>
      <c r="E16" s="5" t="s">
        <v>432</v>
      </c>
      <c r="F16" s="5" t="s">
        <v>1865</v>
      </c>
    </row>
    <row r="17" spans="1:7">
      <c r="A17" s="25">
        <v>16</v>
      </c>
      <c r="B17" s="4" t="s">
        <v>176</v>
      </c>
      <c r="C17" s="3" t="s">
        <v>1824</v>
      </c>
      <c r="D17" s="2" t="s">
        <v>50</v>
      </c>
      <c r="E17" s="5" t="s">
        <v>434</v>
      </c>
      <c r="F17" s="5" t="s">
        <v>1866</v>
      </c>
    </row>
    <row r="18" spans="1:7">
      <c r="A18" s="25">
        <v>17</v>
      </c>
      <c r="B18" s="34" t="s">
        <v>18</v>
      </c>
      <c r="C18" s="36" t="s">
        <v>1857</v>
      </c>
      <c r="D18" s="33" t="s">
        <v>51</v>
      </c>
      <c r="E18" s="12" t="s">
        <v>409</v>
      </c>
      <c r="F18" s="12" t="s">
        <v>115</v>
      </c>
      <c r="G18" s="54" t="s">
        <v>406</v>
      </c>
    </row>
    <row r="19" spans="1:7">
      <c r="A19" s="25">
        <v>18</v>
      </c>
      <c r="B19" s="7" t="s">
        <v>19</v>
      </c>
      <c r="C19" s="3" t="s">
        <v>1766</v>
      </c>
      <c r="D19" s="2" t="s">
        <v>51</v>
      </c>
      <c r="E19" s="5" t="s">
        <v>426</v>
      </c>
      <c r="F19" s="5" t="s">
        <v>116</v>
      </c>
    </row>
    <row r="20" spans="1:7">
      <c r="A20" s="25">
        <v>19</v>
      </c>
      <c r="B20" s="7" t="s">
        <v>20</v>
      </c>
      <c r="C20" s="3" t="s">
        <v>1770</v>
      </c>
      <c r="D20" s="2" t="s">
        <v>51</v>
      </c>
      <c r="E20" s="5" t="s">
        <v>435</v>
      </c>
      <c r="F20" s="5" t="s">
        <v>1867</v>
      </c>
    </row>
    <row r="21" spans="1:7">
      <c r="A21" s="25">
        <v>20</v>
      </c>
      <c r="B21" s="4" t="s">
        <v>182</v>
      </c>
      <c r="C21" s="3" t="s">
        <v>1762</v>
      </c>
      <c r="D21" s="2" t="s">
        <v>51</v>
      </c>
      <c r="E21" s="5" t="s">
        <v>436</v>
      </c>
      <c r="F21" s="5" t="s">
        <v>1868</v>
      </c>
    </row>
    <row r="22" spans="1:7">
      <c r="A22" s="25">
        <v>21</v>
      </c>
      <c r="B22" s="4" t="s">
        <v>184</v>
      </c>
      <c r="C22" s="3" t="s">
        <v>1749</v>
      </c>
      <c r="D22" s="2" t="s">
        <v>51</v>
      </c>
      <c r="E22" s="5" t="s">
        <v>437</v>
      </c>
      <c r="F22" s="5" t="s">
        <v>1869</v>
      </c>
    </row>
    <row r="23" spans="1:7">
      <c r="A23" s="25">
        <v>22</v>
      </c>
      <c r="B23" s="4" t="s">
        <v>186</v>
      </c>
      <c r="C23" s="3" t="s">
        <v>1758</v>
      </c>
      <c r="D23" s="2" t="s">
        <v>51</v>
      </c>
      <c r="E23" s="5" t="s">
        <v>438</v>
      </c>
      <c r="F23" s="5" t="s">
        <v>1870</v>
      </c>
    </row>
    <row r="24" spans="1:7">
      <c r="A24" s="25">
        <v>23</v>
      </c>
      <c r="B24" s="4" t="s">
        <v>188</v>
      </c>
      <c r="C24" s="3" t="s">
        <v>1722</v>
      </c>
      <c r="D24" s="2" t="s">
        <v>51</v>
      </c>
      <c r="E24" s="5" t="s">
        <v>433</v>
      </c>
      <c r="F24" s="5" t="s">
        <v>1871</v>
      </c>
    </row>
    <row r="25" spans="1:7">
      <c r="A25" s="25">
        <v>24</v>
      </c>
      <c r="B25" s="4" t="s">
        <v>190</v>
      </c>
      <c r="C25" s="3" t="s">
        <v>1745</v>
      </c>
      <c r="D25" s="2" t="s">
        <v>51</v>
      </c>
      <c r="E25" s="5" t="s">
        <v>429</v>
      </c>
      <c r="F25" s="5" t="s">
        <v>1872</v>
      </c>
    </row>
    <row r="26" spans="1:7">
      <c r="A26" s="25">
        <v>25</v>
      </c>
      <c r="B26" s="4" t="s">
        <v>192</v>
      </c>
      <c r="C26" s="3" t="s">
        <v>1731</v>
      </c>
      <c r="D26" s="2" t="s">
        <v>51</v>
      </c>
      <c r="E26" s="5" t="s">
        <v>430</v>
      </c>
      <c r="F26" s="5" t="s">
        <v>1873</v>
      </c>
    </row>
    <row r="27" spans="1:7">
      <c r="A27" s="25">
        <v>26</v>
      </c>
      <c r="B27" s="32" t="s">
        <v>21</v>
      </c>
      <c r="C27" s="36" t="s">
        <v>1858</v>
      </c>
      <c r="D27" s="33" t="s">
        <v>4</v>
      </c>
      <c r="E27" s="12" t="s">
        <v>410</v>
      </c>
      <c r="F27" s="12" t="s">
        <v>118</v>
      </c>
      <c r="G27" s="54" t="s">
        <v>406</v>
      </c>
    </row>
    <row r="28" spans="1:7">
      <c r="A28" s="25">
        <v>27</v>
      </c>
      <c r="B28" s="4" t="s">
        <v>22</v>
      </c>
      <c r="C28" s="3" t="s">
        <v>1695</v>
      </c>
      <c r="D28" s="2" t="s">
        <v>4</v>
      </c>
      <c r="E28" s="5" t="s">
        <v>456</v>
      </c>
      <c r="F28" s="5" t="s">
        <v>119</v>
      </c>
    </row>
    <row r="29" spans="1:7">
      <c r="A29" s="25">
        <v>28</v>
      </c>
      <c r="B29" s="4" t="s">
        <v>23</v>
      </c>
      <c r="C29" s="3" t="s">
        <v>1691</v>
      </c>
      <c r="D29" s="2" t="s">
        <v>4</v>
      </c>
      <c r="E29" s="5" t="s">
        <v>457</v>
      </c>
      <c r="F29" s="5" t="s">
        <v>120</v>
      </c>
    </row>
    <row r="30" spans="1:7">
      <c r="A30" s="25">
        <v>29</v>
      </c>
      <c r="B30" s="4" t="s">
        <v>197</v>
      </c>
      <c r="C30" s="3" t="s">
        <v>1639</v>
      </c>
      <c r="D30" s="2" t="s">
        <v>4</v>
      </c>
      <c r="E30" s="5" t="s">
        <v>458</v>
      </c>
      <c r="F30" s="5" t="s">
        <v>1874</v>
      </c>
    </row>
    <row r="31" spans="1:7">
      <c r="A31" s="25">
        <v>30</v>
      </c>
      <c r="B31" s="4" t="s">
        <v>199</v>
      </c>
      <c r="C31" s="3" t="s">
        <v>1664</v>
      </c>
      <c r="D31" s="2" t="s">
        <v>4</v>
      </c>
      <c r="E31" s="5" t="s">
        <v>459</v>
      </c>
      <c r="F31" s="5" t="s">
        <v>1875</v>
      </c>
    </row>
    <row r="32" spans="1:7">
      <c r="A32" s="25">
        <v>31</v>
      </c>
      <c r="B32" s="4" t="s">
        <v>201</v>
      </c>
      <c r="C32" s="3" t="s">
        <v>1630</v>
      </c>
      <c r="D32" s="2" t="s">
        <v>4</v>
      </c>
      <c r="E32" s="5" t="s">
        <v>518</v>
      </c>
      <c r="F32" s="5" t="s">
        <v>1876</v>
      </c>
    </row>
    <row r="33" spans="1:7">
      <c r="A33" s="25">
        <v>32</v>
      </c>
      <c r="B33" s="4" t="s">
        <v>203</v>
      </c>
      <c r="C33" s="3" t="s">
        <v>1673</v>
      </c>
      <c r="D33" s="2" t="s">
        <v>4</v>
      </c>
      <c r="E33" s="5" t="s">
        <v>519</v>
      </c>
      <c r="F33" s="5" t="s">
        <v>1877</v>
      </c>
    </row>
    <row r="34" spans="1:7">
      <c r="A34" s="25">
        <v>33</v>
      </c>
      <c r="B34" s="4" t="s">
        <v>205</v>
      </c>
      <c r="C34" s="3" t="s">
        <v>1643</v>
      </c>
      <c r="D34" s="2" t="s">
        <v>4</v>
      </c>
      <c r="E34" s="5" t="s">
        <v>520</v>
      </c>
      <c r="F34" s="5" t="s">
        <v>1878</v>
      </c>
    </row>
    <row r="35" spans="1:7">
      <c r="A35" s="25">
        <v>34</v>
      </c>
      <c r="B35" s="4" t="s">
        <v>207</v>
      </c>
      <c r="C35" s="3" t="s">
        <v>1647</v>
      </c>
      <c r="D35" s="2" t="s">
        <v>4</v>
      </c>
      <c r="E35" s="5" t="s">
        <v>522</v>
      </c>
      <c r="F35" s="5" t="s">
        <v>1879</v>
      </c>
    </row>
    <row r="36" spans="1:7">
      <c r="A36" s="25">
        <v>35</v>
      </c>
      <c r="B36" s="4" t="s">
        <v>209</v>
      </c>
      <c r="C36" s="3" t="s">
        <v>1626</v>
      </c>
      <c r="D36" s="2" t="s">
        <v>4</v>
      </c>
      <c r="E36" s="5" t="s">
        <v>521</v>
      </c>
      <c r="F36" s="5" t="s">
        <v>1880</v>
      </c>
    </row>
    <row r="37" spans="1:7">
      <c r="A37" s="25">
        <v>36</v>
      </c>
      <c r="B37" s="4" t="s">
        <v>24</v>
      </c>
      <c r="C37" s="3" t="s">
        <v>1608</v>
      </c>
      <c r="D37" s="2" t="s">
        <v>52</v>
      </c>
      <c r="E37" s="5" t="s">
        <v>439</v>
      </c>
      <c r="F37" s="5" t="s">
        <v>121</v>
      </c>
    </row>
    <row r="38" spans="1:7">
      <c r="A38" s="25">
        <v>37</v>
      </c>
      <c r="B38" s="4" t="s">
        <v>212</v>
      </c>
      <c r="C38" s="3" t="s">
        <v>1586</v>
      </c>
      <c r="D38" s="2" t="s">
        <v>52</v>
      </c>
      <c r="E38" s="5" t="s">
        <v>440</v>
      </c>
      <c r="F38" s="5" t="s">
        <v>1881</v>
      </c>
    </row>
    <row r="39" spans="1:7">
      <c r="A39" s="25">
        <v>38</v>
      </c>
      <c r="B39" s="4" t="s">
        <v>214</v>
      </c>
      <c r="C39" s="3" t="s">
        <v>1590</v>
      </c>
      <c r="D39" s="2" t="s">
        <v>52</v>
      </c>
      <c r="E39" s="5" t="s">
        <v>441</v>
      </c>
      <c r="F39" s="5" t="s">
        <v>1882</v>
      </c>
    </row>
    <row r="40" spans="1:7">
      <c r="A40" s="25">
        <v>39</v>
      </c>
      <c r="B40" s="4" t="s">
        <v>216</v>
      </c>
      <c r="C40" s="3" t="s">
        <v>1594</v>
      </c>
      <c r="D40" s="2" t="s">
        <v>52</v>
      </c>
      <c r="E40" s="5" t="s">
        <v>442</v>
      </c>
      <c r="F40" s="5" t="s">
        <v>1883</v>
      </c>
    </row>
    <row r="41" spans="1:7">
      <c r="A41" s="25">
        <v>40</v>
      </c>
      <c r="B41" s="32" t="s">
        <v>25</v>
      </c>
      <c r="C41" s="36" t="s">
        <v>1859</v>
      </c>
      <c r="D41" s="33" t="s">
        <v>53</v>
      </c>
      <c r="E41" s="12" t="s">
        <v>411</v>
      </c>
      <c r="F41" s="12" t="s">
        <v>122</v>
      </c>
      <c r="G41" s="54" t="s">
        <v>406</v>
      </c>
    </row>
    <row r="42" spans="1:7">
      <c r="A42" s="25">
        <v>41</v>
      </c>
      <c r="B42" s="4" t="s">
        <v>26</v>
      </c>
      <c r="C42" s="3" t="s">
        <v>1155</v>
      </c>
      <c r="D42" s="2" t="s">
        <v>53</v>
      </c>
      <c r="E42" s="5" t="s">
        <v>443</v>
      </c>
      <c r="F42" s="5" t="s">
        <v>123</v>
      </c>
    </row>
    <row r="43" spans="1:7">
      <c r="A43" s="25">
        <v>42</v>
      </c>
      <c r="B43" s="4" t="s">
        <v>27</v>
      </c>
      <c r="C43" s="3" t="s">
        <v>1150</v>
      </c>
      <c r="D43" s="2" t="s">
        <v>53</v>
      </c>
      <c r="E43" s="5" t="s">
        <v>460</v>
      </c>
      <c r="F43" s="5" t="s">
        <v>124</v>
      </c>
    </row>
    <row r="44" spans="1:7">
      <c r="A44" s="25">
        <v>43</v>
      </c>
      <c r="B44" s="4" t="s">
        <v>221</v>
      </c>
      <c r="C44" s="3" t="s">
        <v>1085</v>
      </c>
      <c r="D44" s="2" t="s">
        <v>53</v>
      </c>
      <c r="E44" s="5" t="s">
        <v>461</v>
      </c>
      <c r="F44" s="5" t="s">
        <v>1884</v>
      </c>
      <c r="G44" s="56"/>
    </row>
    <row r="45" spans="1:7">
      <c r="A45" s="25">
        <v>44</v>
      </c>
      <c r="B45" s="4" t="s">
        <v>223</v>
      </c>
      <c r="C45" s="3" t="s">
        <v>1129</v>
      </c>
      <c r="D45" s="2" t="s">
        <v>53</v>
      </c>
      <c r="E45" s="5" t="s">
        <v>462</v>
      </c>
      <c r="F45" s="5" t="s">
        <v>1885</v>
      </c>
    </row>
    <row r="46" spans="1:7">
      <c r="A46" s="25">
        <v>45</v>
      </c>
      <c r="B46" s="4" t="s">
        <v>225</v>
      </c>
      <c r="C46" s="3" t="s">
        <v>1146</v>
      </c>
      <c r="D46" s="2" t="s">
        <v>53</v>
      </c>
      <c r="E46" s="5" t="s">
        <v>463</v>
      </c>
      <c r="F46" s="5" t="s">
        <v>1886</v>
      </c>
    </row>
    <row r="47" spans="1:7">
      <c r="A47" s="25">
        <v>46</v>
      </c>
      <c r="B47" s="4" t="s">
        <v>227</v>
      </c>
      <c r="C47" s="3" t="s">
        <v>1116</v>
      </c>
      <c r="D47" s="2" t="s">
        <v>53</v>
      </c>
      <c r="E47" s="5" t="s">
        <v>464</v>
      </c>
      <c r="F47" s="5" t="s">
        <v>1887</v>
      </c>
    </row>
    <row r="48" spans="1:7">
      <c r="A48" s="25">
        <v>47</v>
      </c>
      <c r="B48" s="4" t="s">
        <v>229</v>
      </c>
      <c r="C48" s="3" t="s">
        <v>1138</v>
      </c>
      <c r="D48" s="2" t="s">
        <v>53</v>
      </c>
      <c r="E48" s="5" t="s">
        <v>465</v>
      </c>
      <c r="F48" s="5" t="s">
        <v>1888</v>
      </c>
    </row>
    <row r="49" spans="1:7">
      <c r="A49" s="25">
        <v>48</v>
      </c>
      <c r="B49" s="4" t="s">
        <v>231</v>
      </c>
      <c r="C49" s="3" t="s">
        <v>1142</v>
      </c>
      <c r="D49" s="2" t="s">
        <v>53</v>
      </c>
      <c r="E49" s="5" t="s">
        <v>466</v>
      </c>
      <c r="F49" s="5" t="s">
        <v>1889</v>
      </c>
    </row>
    <row r="50" spans="1:7">
      <c r="A50" s="25">
        <v>49</v>
      </c>
      <c r="B50" s="4" t="s">
        <v>233</v>
      </c>
      <c r="C50" s="3" t="s">
        <v>1092</v>
      </c>
      <c r="D50" s="2" t="s">
        <v>53</v>
      </c>
      <c r="E50" s="5" t="s">
        <v>451</v>
      </c>
      <c r="F50" s="5" t="s">
        <v>1890</v>
      </c>
    </row>
    <row r="51" spans="1:7">
      <c r="A51" s="25">
        <v>50</v>
      </c>
      <c r="B51" s="4" t="s">
        <v>235</v>
      </c>
      <c r="C51" s="3" t="s">
        <v>1089</v>
      </c>
      <c r="D51" s="2" t="s">
        <v>53</v>
      </c>
      <c r="E51" s="5" t="s">
        <v>452</v>
      </c>
      <c r="F51" s="5" t="s">
        <v>1891</v>
      </c>
    </row>
    <row r="52" spans="1:7">
      <c r="A52" s="25">
        <v>51</v>
      </c>
      <c r="B52" s="32" t="s">
        <v>28</v>
      </c>
      <c r="C52" s="28" t="str">
        <f>VLOOKUP(B52,Sheet3!A:G,7,FALSE)</f>
        <v>00317828229024</v>
      </c>
      <c r="D52" s="33" t="s">
        <v>54</v>
      </c>
      <c r="E52" s="12" t="s">
        <v>412</v>
      </c>
      <c r="F52" s="12" t="s">
        <v>125</v>
      </c>
      <c r="G52" s="54" t="s">
        <v>406</v>
      </c>
    </row>
    <row r="53" spans="1:7">
      <c r="A53" s="25">
        <v>52</v>
      </c>
      <c r="B53" s="4" t="s">
        <v>29</v>
      </c>
      <c r="C53" s="3" t="s">
        <v>1324</v>
      </c>
      <c r="D53" s="2" t="s">
        <v>54</v>
      </c>
      <c r="E53" s="5" t="s">
        <v>470</v>
      </c>
      <c r="F53" s="5" t="s">
        <v>126</v>
      </c>
    </row>
    <row r="54" spans="1:7">
      <c r="A54" s="25">
        <v>53</v>
      </c>
      <c r="B54" s="4" t="s">
        <v>239</v>
      </c>
      <c r="C54" s="3" t="s">
        <v>1293</v>
      </c>
      <c r="D54" s="2" t="s">
        <v>54</v>
      </c>
      <c r="E54" s="5" t="s">
        <v>471</v>
      </c>
      <c r="F54" s="5" t="s">
        <v>1892</v>
      </c>
    </row>
    <row r="55" spans="1:7">
      <c r="A55" s="25">
        <v>54</v>
      </c>
      <c r="B55" s="4" t="s">
        <v>241</v>
      </c>
      <c r="C55" s="55" t="s">
        <v>1853</v>
      </c>
      <c r="D55" s="2" t="s">
        <v>54</v>
      </c>
      <c r="E55" s="5" t="s">
        <v>472</v>
      </c>
      <c r="F55" s="5" t="s">
        <v>1893</v>
      </c>
    </row>
    <row r="56" spans="1:7">
      <c r="A56" s="25">
        <v>55</v>
      </c>
      <c r="B56" s="4" t="s">
        <v>243</v>
      </c>
      <c r="C56" s="3" t="s">
        <v>1285</v>
      </c>
      <c r="D56" s="2" t="s">
        <v>54</v>
      </c>
      <c r="E56" s="5" t="s">
        <v>473</v>
      </c>
      <c r="F56" s="5" t="s">
        <v>1894</v>
      </c>
    </row>
    <row r="57" spans="1:7">
      <c r="A57" s="25">
        <v>56</v>
      </c>
      <c r="B57" s="4" t="s">
        <v>245</v>
      </c>
      <c r="C57" s="3" t="s">
        <v>1289</v>
      </c>
      <c r="D57" s="2" t="s">
        <v>54</v>
      </c>
      <c r="E57" s="5" t="s">
        <v>474</v>
      </c>
      <c r="F57" s="5" t="s">
        <v>1895</v>
      </c>
    </row>
    <row r="58" spans="1:7">
      <c r="A58" s="25">
        <v>57</v>
      </c>
      <c r="B58" s="4" t="s">
        <v>247</v>
      </c>
      <c r="C58" s="3" t="s">
        <v>1257</v>
      </c>
      <c r="D58" s="2" t="s">
        <v>54</v>
      </c>
      <c r="E58" s="5" t="s">
        <v>475</v>
      </c>
      <c r="F58" s="5" t="s">
        <v>1896</v>
      </c>
    </row>
    <row r="59" spans="1:7">
      <c r="A59" s="25">
        <v>58</v>
      </c>
      <c r="B59" s="4" t="s">
        <v>249</v>
      </c>
      <c r="C59" s="3" t="s">
        <v>1302</v>
      </c>
      <c r="D59" s="2" t="s">
        <v>54</v>
      </c>
      <c r="E59" s="5" t="s">
        <v>476</v>
      </c>
      <c r="F59" s="5" t="s">
        <v>1897</v>
      </c>
    </row>
    <row r="60" spans="1:7">
      <c r="A60" s="25">
        <v>59</v>
      </c>
      <c r="B60" s="4" t="s">
        <v>251</v>
      </c>
      <c r="C60" s="3" t="s">
        <v>1320</v>
      </c>
      <c r="D60" s="2" t="s">
        <v>54</v>
      </c>
      <c r="E60" s="5" t="s">
        <v>477</v>
      </c>
      <c r="F60" s="5" t="s">
        <v>1898</v>
      </c>
    </row>
    <row r="61" spans="1:7">
      <c r="A61" s="25">
        <v>60</v>
      </c>
      <c r="B61" s="4" t="s">
        <v>253</v>
      </c>
      <c r="C61" s="3" t="s">
        <v>1202</v>
      </c>
      <c r="D61" s="2" t="s">
        <v>54</v>
      </c>
      <c r="E61" s="5" t="s">
        <v>478</v>
      </c>
      <c r="F61" s="5" t="s">
        <v>110</v>
      </c>
    </row>
    <row r="62" spans="1:7">
      <c r="A62" s="25">
        <v>61</v>
      </c>
      <c r="B62" s="4" t="s">
        <v>255</v>
      </c>
      <c r="C62" s="3" t="s">
        <v>1276</v>
      </c>
      <c r="D62" s="2" t="s">
        <v>54</v>
      </c>
      <c r="E62" s="5" t="s">
        <v>479</v>
      </c>
      <c r="F62" s="5" t="s">
        <v>1899</v>
      </c>
    </row>
    <row r="63" spans="1:7">
      <c r="A63" s="25">
        <v>62</v>
      </c>
      <c r="B63" s="4" t="s">
        <v>257</v>
      </c>
      <c r="C63" s="3" t="s">
        <v>1244</v>
      </c>
      <c r="D63" s="2" t="s">
        <v>54</v>
      </c>
      <c r="E63" s="5" t="s">
        <v>480</v>
      </c>
      <c r="F63" s="5" t="s">
        <v>1900</v>
      </c>
    </row>
    <row r="64" spans="1:7">
      <c r="A64" s="25">
        <v>63</v>
      </c>
      <c r="B64" s="4" t="s">
        <v>259</v>
      </c>
      <c r="C64" s="3" t="e">
        <v>#N/A</v>
      </c>
      <c r="D64" s="2" t="s">
        <v>54</v>
      </c>
      <c r="E64" s="5" t="s">
        <v>481</v>
      </c>
      <c r="F64" s="5" t="s">
        <v>1901</v>
      </c>
    </row>
    <row r="65" spans="1:7">
      <c r="A65" s="25">
        <v>64</v>
      </c>
      <c r="B65" s="4" t="s">
        <v>261</v>
      </c>
      <c r="C65" s="3" t="s">
        <v>1225</v>
      </c>
      <c r="D65" s="2" t="s">
        <v>54</v>
      </c>
      <c r="E65" s="5" t="s">
        <v>482</v>
      </c>
      <c r="F65" s="5" t="s">
        <v>1902</v>
      </c>
    </row>
    <row r="66" spans="1:7">
      <c r="A66" s="25">
        <v>65</v>
      </c>
      <c r="B66" s="4" t="s">
        <v>263</v>
      </c>
      <c r="C66" s="3" t="s">
        <v>1248</v>
      </c>
      <c r="D66" s="2" t="s">
        <v>54</v>
      </c>
      <c r="E66" s="5" t="s">
        <v>483</v>
      </c>
      <c r="F66" s="5" t="s">
        <v>1903</v>
      </c>
    </row>
    <row r="67" spans="1:7">
      <c r="A67" s="25">
        <v>66</v>
      </c>
      <c r="B67" s="35" t="s">
        <v>30</v>
      </c>
      <c r="C67" s="28" t="str">
        <f>VLOOKUP(B67,Sheet3!A:G,7,FALSE)</f>
        <v>00313542875593</v>
      </c>
      <c r="D67" s="33" t="s">
        <v>55</v>
      </c>
      <c r="E67" s="12" t="s">
        <v>413</v>
      </c>
      <c r="F67" s="12" t="s">
        <v>127</v>
      </c>
      <c r="G67" s="54" t="s">
        <v>406</v>
      </c>
    </row>
    <row r="68" spans="1:7">
      <c r="A68" s="25">
        <v>67</v>
      </c>
      <c r="B68" s="6" t="s">
        <v>31</v>
      </c>
      <c r="C68" s="3" t="s">
        <v>1687</v>
      </c>
      <c r="D68" s="2" t="s">
        <v>55</v>
      </c>
      <c r="E68" s="5" t="s">
        <v>500</v>
      </c>
      <c r="F68" s="5" t="s">
        <v>128</v>
      </c>
    </row>
    <row r="69" spans="1:7">
      <c r="A69" s="25">
        <v>68</v>
      </c>
      <c r="B69" s="6" t="s">
        <v>267</v>
      </c>
      <c r="C69" s="3" t="s">
        <v>1509</v>
      </c>
      <c r="D69" s="2" t="s">
        <v>55</v>
      </c>
      <c r="E69" s="5" t="s">
        <v>501</v>
      </c>
      <c r="F69" s="5" t="s">
        <v>1904</v>
      </c>
    </row>
    <row r="70" spans="1:7">
      <c r="A70" s="25">
        <v>69</v>
      </c>
      <c r="B70" s="6" t="s">
        <v>269</v>
      </c>
      <c r="C70" s="3" t="s">
        <v>1492</v>
      </c>
      <c r="D70" s="2" t="s">
        <v>55</v>
      </c>
      <c r="E70" s="5" t="s">
        <v>502</v>
      </c>
      <c r="F70" s="5" t="s">
        <v>1905</v>
      </c>
    </row>
    <row r="71" spans="1:7">
      <c r="A71" s="25">
        <v>70</v>
      </c>
      <c r="B71" s="6" t="s">
        <v>271</v>
      </c>
      <c r="C71" s="55" t="s">
        <v>1855</v>
      </c>
      <c r="D71" s="2" t="s">
        <v>55</v>
      </c>
      <c r="E71" s="5" t="s">
        <v>503</v>
      </c>
      <c r="F71" s="5" t="s">
        <v>1906</v>
      </c>
    </row>
    <row r="72" spans="1:7">
      <c r="A72" s="25">
        <v>71</v>
      </c>
      <c r="B72" s="6" t="s">
        <v>273</v>
      </c>
      <c r="C72" s="3" t="s">
        <v>1488</v>
      </c>
      <c r="D72" s="2" t="s">
        <v>55</v>
      </c>
      <c r="E72" s="5" t="s">
        <v>504</v>
      </c>
      <c r="F72" s="5" t="s">
        <v>1907</v>
      </c>
    </row>
    <row r="73" spans="1:7">
      <c r="A73" s="25">
        <v>72</v>
      </c>
      <c r="B73" s="6" t="s">
        <v>275</v>
      </c>
      <c r="C73" s="3" t="s">
        <v>1496</v>
      </c>
      <c r="D73" s="2" t="s">
        <v>55</v>
      </c>
      <c r="E73" s="5" t="s">
        <v>505</v>
      </c>
      <c r="F73" s="5" t="s">
        <v>1908</v>
      </c>
    </row>
    <row r="74" spans="1:7">
      <c r="A74" s="25">
        <v>73</v>
      </c>
      <c r="B74" s="6" t="s">
        <v>277</v>
      </c>
      <c r="C74" s="3" t="s">
        <v>1479</v>
      </c>
      <c r="D74" s="2" t="s">
        <v>55</v>
      </c>
      <c r="E74" s="5" t="s">
        <v>506</v>
      </c>
      <c r="F74" s="5" t="s">
        <v>1909</v>
      </c>
    </row>
    <row r="75" spans="1:7">
      <c r="A75" s="25">
        <v>74</v>
      </c>
      <c r="B75" s="6" t="s">
        <v>279</v>
      </c>
      <c r="C75" s="3" t="s">
        <v>1470</v>
      </c>
      <c r="D75" s="2" t="s">
        <v>55</v>
      </c>
      <c r="E75" s="5" t="s">
        <v>507</v>
      </c>
      <c r="F75" s="5" t="s">
        <v>1910</v>
      </c>
    </row>
    <row r="76" spans="1:7">
      <c r="A76" s="25">
        <v>75</v>
      </c>
      <c r="B76" s="6" t="s">
        <v>281</v>
      </c>
      <c r="C76" s="3" t="s">
        <v>942</v>
      </c>
      <c r="D76" s="2" t="s">
        <v>55</v>
      </c>
      <c r="E76" s="5" t="s">
        <v>508</v>
      </c>
      <c r="F76" s="5" t="e">
        <v>#N/A</v>
      </c>
    </row>
    <row r="77" spans="1:7">
      <c r="A77" s="25">
        <v>76</v>
      </c>
      <c r="B77" s="6" t="s">
        <v>283</v>
      </c>
      <c r="C77" s="3" t="s">
        <v>970</v>
      </c>
      <c r="D77" s="2" t="s">
        <v>55</v>
      </c>
      <c r="E77" s="5" t="s">
        <v>509</v>
      </c>
      <c r="F77" s="5" t="s">
        <v>1911</v>
      </c>
    </row>
    <row r="78" spans="1:7">
      <c r="A78" s="25">
        <v>77</v>
      </c>
      <c r="B78" s="6" t="s">
        <v>285</v>
      </c>
      <c r="C78" s="3" t="s">
        <v>1337</v>
      </c>
      <c r="D78" s="2" t="s">
        <v>55</v>
      </c>
      <c r="E78" s="5" t="s">
        <v>510</v>
      </c>
      <c r="F78" s="5" t="s">
        <v>1912</v>
      </c>
    </row>
    <row r="79" spans="1:7">
      <c r="A79" s="25">
        <v>78</v>
      </c>
      <c r="B79" s="6" t="s">
        <v>287</v>
      </c>
      <c r="C79" s="3" t="s">
        <v>1446</v>
      </c>
      <c r="D79" s="2" t="s">
        <v>55</v>
      </c>
      <c r="E79" s="5" t="s">
        <v>511</v>
      </c>
      <c r="F79" s="5" t="s">
        <v>1913</v>
      </c>
    </row>
    <row r="80" spans="1:7">
      <c r="A80" s="25">
        <v>79</v>
      </c>
      <c r="B80" s="32" t="s">
        <v>32</v>
      </c>
      <c r="C80" s="28" t="str">
        <f>VLOOKUP(B80,Sheet3!A:G,7,FALSE)</f>
        <v>00313542875278</v>
      </c>
      <c r="D80" s="33" t="s">
        <v>56</v>
      </c>
      <c r="E80" s="12" t="s">
        <v>414</v>
      </c>
      <c r="F80" s="12" t="s">
        <v>129</v>
      </c>
      <c r="G80" s="54" t="s">
        <v>406</v>
      </c>
    </row>
    <row r="81" spans="1:7">
      <c r="A81" s="25">
        <v>80</v>
      </c>
      <c r="B81" s="4" t="s">
        <v>33</v>
      </c>
      <c r="C81" s="3" t="s">
        <v>1562</v>
      </c>
      <c r="D81" s="2" t="s">
        <v>56</v>
      </c>
      <c r="E81" s="5" t="s">
        <v>512</v>
      </c>
      <c r="F81" s="5" t="s">
        <v>130</v>
      </c>
    </row>
    <row r="82" spans="1:7">
      <c r="A82" s="25">
        <v>81</v>
      </c>
      <c r="B82" s="4" t="s">
        <v>291</v>
      </c>
      <c r="C82" s="3" t="s">
        <v>1526</v>
      </c>
      <c r="D82" s="2" t="s">
        <v>56</v>
      </c>
      <c r="E82" s="5" t="s">
        <v>514</v>
      </c>
      <c r="F82" s="5" t="s">
        <v>1914</v>
      </c>
    </row>
    <row r="83" spans="1:7">
      <c r="A83" s="25">
        <v>82</v>
      </c>
      <c r="B83" s="4" t="s">
        <v>293</v>
      </c>
      <c r="C83" s="3" t="s">
        <v>1554</v>
      </c>
      <c r="D83" s="2" t="s">
        <v>56</v>
      </c>
      <c r="E83" s="5" t="s">
        <v>513</v>
      </c>
      <c r="F83" s="5" t="s">
        <v>1915</v>
      </c>
    </row>
    <row r="84" spans="1:7">
      <c r="A84" s="25">
        <v>83</v>
      </c>
      <c r="B84" s="4" t="s">
        <v>295</v>
      </c>
      <c r="C84" s="3" t="s">
        <v>1535</v>
      </c>
      <c r="D84" s="2" t="s">
        <v>56</v>
      </c>
      <c r="E84" s="5" t="s">
        <v>515</v>
      </c>
      <c r="F84" s="5" t="s">
        <v>1916</v>
      </c>
    </row>
    <row r="85" spans="1:7">
      <c r="A85" s="25">
        <v>84</v>
      </c>
      <c r="B85" s="4" t="s">
        <v>297</v>
      </c>
      <c r="C85" s="3" t="s">
        <v>1558</v>
      </c>
      <c r="D85" s="2" t="s">
        <v>56</v>
      </c>
      <c r="E85" s="5" t="s">
        <v>516</v>
      </c>
      <c r="F85" s="5" t="s">
        <v>1917</v>
      </c>
    </row>
    <row r="86" spans="1:7">
      <c r="A86" s="25">
        <v>85</v>
      </c>
      <c r="B86" s="4" t="s">
        <v>299</v>
      </c>
      <c r="C86" s="3" t="s">
        <v>1522</v>
      </c>
      <c r="D86" s="2" t="s">
        <v>56</v>
      </c>
      <c r="E86" s="5" t="s">
        <v>517</v>
      </c>
      <c r="F86" s="5" t="s">
        <v>1918</v>
      </c>
    </row>
    <row r="87" spans="1:7">
      <c r="A87" s="25">
        <v>86</v>
      </c>
      <c r="B87" s="8" t="s">
        <v>34</v>
      </c>
      <c r="C87" s="3" t="s">
        <v>1016</v>
      </c>
      <c r="D87" s="3" t="s">
        <v>57</v>
      </c>
      <c r="E87" s="5" t="s">
        <v>455</v>
      </c>
      <c r="F87" s="5" t="s">
        <v>131</v>
      </c>
    </row>
    <row r="88" spans="1:7">
      <c r="A88" s="25">
        <v>87</v>
      </c>
      <c r="B88" s="32" t="s">
        <v>35</v>
      </c>
      <c r="C88" s="28" t="str">
        <f>VLOOKUP(B88,Sheet3!A:G,7,FALSE)</f>
        <v>00313542863316</v>
      </c>
      <c r="D88" s="36" t="s">
        <v>57</v>
      </c>
      <c r="E88" s="12" t="s">
        <v>415</v>
      </c>
      <c r="F88" s="12" t="s">
        <v>132</v>
      </c>
      <c r="G88" s="54" t="s">
        <v>406</v>
      </c>
    </row>
    <row r="89" spans="1:7">
      <c r="A89" s="25">
        <v>88</v>
      </c>
      <c r="B89" s="4" t="s">
        <v>36</v>
      </c>
      <c r="C89" s="3" t="s">
        <v>1011</v>
      </c>
      <c r="D89" s="3" t="s">
        <v>57</v>
      </c>
      <c r="E89" s="5" t="s">
        <v>467</v>
      </c>
      <c r="F89" s="5" t="s">
        <v>133</v>
      </c>
    </row>
    <row r="90" spans="1:7">
      <c r="A90" s="25">
        <v>89</v>
      </c>
      <c r="B90" s="4" t="s">
        <v>304</v>
      </c>
      <c r="C90" s="3" t="s">
        <v>1002</v>
      </c>
      <c r="D90" s="3" t="s">
        <v>57</v>
      </c>
      <c r="E90" s="5" t="s">
        <v>468</v>
      </c>
      <c r="F90" s="5" t="s">
        <v>117</v>
      </c>
    </row>
    <row r="91" spans="1:7">
      <c r="A91" s="25">
        <v>90</v>
      </c>
      <c r="B91" s="4" t="s">
        <v>306</v>
      </c>
      <c r="C91" s="3" t="s">
        <v>951</v>
      </c>
      <c r="D91" s="3" t="s">
        <v>57</v>
      </c>
      <c r="E91" s="5" t="s">
        <v>469</v>
      </c>
      <c r="F91" s="5" t="s">
        <v>1919</v>
      </c>
    </row>
    <row r="92" spans="1:7">
      <c r="A92" s="25">
        <v>91</v>
      </c>
      <c r="B92" s="4" t="s">
        <v>308</v>
      </c>
      <c r="C92" s="3" t="s">
        <v>993</v>
      </c>
      <c r="D92" s="3" t="s">
        <v>57</v>
      </c>
      <c r="E92" s="5" t="s">
        <v>523</v>
      </c>
      <c r="F92" s="5" t="s">
        <v>1920</v>
      </c>
    </row>
    <row r="93" spans="1:7">
      <c r="A93" s="25">
        <v>92</v>
      </c>
      <c r="B93" s="4" t="s">
        <v>310</v>
      </c>
      <c r="C93" s="3" t="s">
        <v>984</v>
      </c>
      <c r="D93" s="3" t="s">
        <v>57</v>
      </c>
      <c r="E93" s="5" t="s">
        <v>524</v>
      </c>
      <c r="F93" s="5" t="s">
        <v>1921</v>
      </c>
    </row>
    <row r="94" spans="1:7">
      <c r="A94" s="25">
        <v>93</v>
      </c>
      <c r="B94" s="4" t="s">
        <v>312</v>
      </c>
      <c r="C94" s="3" t="s">
        <v>918</v>
      </c>
      <c r="D94" s="3" t="s">
        <v>57</v>
      </c>
      <c r="E94" s="5" t="s">
        <v>525</v>
      </c>
      <c r="F94" s="5" t="s">
        <v>1922</v>
      </c>
    </row>
    <row r="95" spans="1:7">
      <c r="A95" s="25">
        <v>94</v>
      </c>
      <c r="B95" s="37" t="s">
        <v>37</v>
      </c>
      <c r="C95" s="28" t="str">
        <f>VLOOKUP(B95,Sheet3!A:G,7,FALSE)</f>
        <v>00313542885191</v>
      </c>
      <c r="D95" s="36" t="s">
        <v>58</v>
      </c>
      <c r="E95" s="12" t="s">
        <v>416</v>
      </c>
      <c r="F95" s="12" t="s">
        <v>134</v>
      </c>
      <c r="G95" s="54" t="s">
        <v>406</v>
      </c>
    </row>
    <row r="96" spans="1:7">
      <c r="A96" s="25">
        <v>95</v>
      </c>
      <c r="B96" s="4" t="s">
        <v>38</v>
      </c>
      <c r="C96" s="3" t="s">
        <v>879</v>
      </c>
      <c r="D96" s="3" t="s">
        <v>58</v>
      </c>
      <c r="E96" s="25" t="s">
        <v>484</v>
      </c>
      <c r="F96" s="5" t="s">
        <v>135</v>
      </c>
    </row>
    <row r="97" spans="1:7">
      <c r="A97" s="25">
        <v>96</v>
      </c>
      <c r="B97" s="4" t="s">
        <v>316</v>
      </c>
      <c r="C97" s="3" t="s">
        <v>851</v>
      </c>
      <c r="D97" s="3" t="s">
        <v>58</v>
      </c>
      <c r="E97" s="25" t="s">
        <v>485</v>
      </c>
      <c r="F97" s="5" t="s">
        <v>1923</v>
      </c>
    </row>
    <row r="98" spans="1:7">
      <c r="A98" s="25">
        <v>97</v>
      </c>
      <c r="B98" s="4" t="s">
        <v>318</v>
      </c>
      <c r="C98" s="3" t="s">
        <v>813</v>
      </c>
      <c r="D98" s="3" t="s">
        <v>58</v>
      </c>
      <c r="E98" s="25" t="s">
        <v>486</v>
      </c>
      <c r="F98" s="5" t="e">
        <v>#N/A</v>
      </c>
    </row>
    <row r="99" spans="1:7">
      <c r="A99" s="25">
        <v>98</v>
      </c>
      <c r="B99" s="4" t="s">
        <v>320</v>
      </c>
      <c r="C99" s="3" t="s">
        <v>822</v>
      </c>
      <c r="D99" s="3" t="s">
        <v>58</v>
      </c>
      <c r="E99" s="25" t="s">
        <v>487</v>
      </c>
      <c r="F99" s="5" t="s">
        <v>1924</v>
      </c>
    </row>
    <row r="100" spans="1:7">
      <c r="A100" s="25">
        <v>99</v>
      </c>
      <c r="B100" s="32" t="s">
        <v>39</v>
      </c>
      <c r="C100" s="28" t="str">
        <f>VLOOKUP(B100,Sheet3!A:G,7,FALSE)</f>
        <v>00317828159136</v>
      </c>
      <c r="D100" s="36" t="s">
        <v>59</v>
      </c>
      <c r="E100" s="12" t="s">
        <v>417</v>
      </c>
      <c r="F100" s="12" t="s">
        <v>136</v>
      </c>
      <c r="G100" s="54" t="s">
        <v>406</v>
      </c>
    </row>
    <row r="101" spans="1:7">
      <c r="A101" s="25">
        <v>100</v>
      </c>
      <c r="B101" s="4" t="s">
        <v>40</v>
      </c>
      <c r="C101" s="3" t="s">
        <v>790</v>
      </c>
      <c r="D101" s="3" t="s">
        <v>59</v>
      </c>
      <c r="E101" s="25" t="s">
        <v>488</v>
      </c>
      <c r="F101" s="5" t="s">
        <v>137</v>
      </c>
    </row>
    <row r="102" spans="1:7">
      <c r="A102" s="25">
        <v>101</v>
      </c>
      <c r="B102" s="4" t="s">
        <v>324</v>
      </c>
      <c r="C102" s="3" t="s">
        <v>786</v>
      </c>
      <c r="D102" s="3" t="s">
        <v>59</v>
      </c>
      <c r="E102" s="25" t="s">
        <v>489</v>
      </c>
      <c r="F102" s="5" t="s">
        <v>1925</v>
      </c>
    </row>
    <row r="103" spans="1:7">
      <c r="A103" s="25">
        <v>102</v>
      </c>
      <c r="B103" s="4" t="s">
        <v>326</v>
      </c>
      <c r="C103" s="3" t="s">
        <v>767</v>
      </c>
      <c r="D103" s="3" t="s">
        <v>59</v>
      </c>
      <c r="E103" s="25" t="s">
        <v>490</v>
      </c>
      <c r="F103" s="5" t="s">
        <v>1926</v>
      </c>
    </row>
    <row r="104" spans="1:7">
      <c r="A104" s="25">
        <v>103</v>
      </c>
      <c r="B104" s="4" t="s">
        <v>328</v>
      </c>
      <c r="C104" s="3" t="s">
        <v>762</v>
      </c>
      <c r="D104" s="3" t="s">
        <v>59</v>
      </c>
      <c r="E104" s="25" t="s">
        <v>491</v>
      </c>
      <c r="F104" s="5" t="s">
        <v>1927</v>
      </c>
    </row>
    <row r="105" spans="1:7">
      <c r="A105" s="25">
        <v>104</v>
      </c>
      <c r="B105" s="32" t="s">
        <v>41</v>
      </c>
      <c r="C105" s="28" t="str">
        <f>VLOOKUP(B105,Sheet3!A:G,7,FALSE)</f>
        <v>00317828138830</v>
      </c>
      <c r="D105" s="36" t="s">
        <v>60</v>
      </c>
      <c r="E105" s="12" t="s">
        <v>418</v>
      </c>
      <c r="F105" s="12" t="s">
        <v>138</v>
      </c>
      <c r="G105" s="54" t="s">
        <v>406</v>
      </c>
    </row>
    <row r="106" spans="1:7">
      <c r="A106" s="25">
        <v>105</v>
      </c>
      <c r="B106" s="4" t="s">
        <v>42</v>
      </c>
      <c r="C106" s="3" t="s">
        <v>739</v>
      </c>
      <c r="D106" s="3" t="s">
        <v>60</v>
      </c>
      <c r="E106" s="25" t="s">
        <v>492</v>
      </c>
      <c r="F106" s="5" t="s">
        <v>139</v>
      </c>
    </row>
    <row r="107" spans="1:7">
      <c r="A107" s="25">
        <v>106</v>
      </c>
      <c r="B107" s="4" t="s">
        <v>332</v>
      </c>
      <c r="C107" s="3" t="s">
        <v>725</v>
      </c>
      <c r="D107" s="3" t="s">
        <v>60</v>
      </c>
      <c r="E107" s="25" t="s">
        <v>493</v>
      </c>
      <c r="F107" s="5" t="s">
        <v>1928</v>
      </c>
    </row>
    <row r="108" spans="1:7">
      <c r="A108" s="25">
        <v>107</v>
      </c>
      <c r="B108" s="4" t="s">
        <v>334</v>
      </c>
      <c r="C108" s="3" t="s">
        <v>721</v>
      </c>
      <c r="D108" s="3" t="s">
        <v>60</v>
      </c>
      <c r="E108" s="25" t="s">
        <v>494</v>
      </c>
      <c r="F108" s="5" t="s">
        <v>1929</v>
      </c>
    </row>
    <row r="109" spans="1:7">
      <c r="A109" s="25">
        <v>108</v>
      </c>
      <c r="B109" s="4" t="s">
        <v>336</v>
      </c>
      <c r="C109" s="3" t="s">
        <v>717</v>
      </c>
      <c r="D109" s="3" t="s">
        <v>60</v>
      </c>
      <c r="E109" s="25" t="s">
        <v>495</v>
      </c>
      <c r="F109" s="5" t="s">
        <v>1930</v>
      </c>
    </row>
    <row r="110" spans="1:7">
      <c r="A110" s="25">
        <v>109</v>
      </c>
      <c r="B110" s="32" t="s">
        <v>43</v>
      </c>
      <c r="C110" s="28" t="str">
        <f>VLOOKUP(B110,Sheet3!A:G,7,FALSE)</f>
        <v>00317828158425</v>
      </c>
      <c r="D110" s="36" t="s">
        <v>61</v>
      </c>
      <c r="E110" s="12" t="s">
        <v>419</v>
      </c>
      <c r="F110" s="12" t="s">
        <v>140</v>
      </c>
      <c r="G110" s="54" t="s">
        <v>406</v>
      </c>
    </row>
    <row r="111" spans="1:7">
      <c r="A111" s="25">
        <v>110</v>
      </c>
      <c r="B111" s="4" t="s">
        <v>44</v>
      </c>
      <c r="C111" s="3" t="s">
        <v>687</v>
      </c>
      <c r="D111" s="3" t="s">
        <v>61</v>
      </c>
      <c r="E111" s="25" t="s">
        <v>496</v>
      </c>
      <c r="F111" s="5" t="s">
        <v>141</v>
      </c>
    </row>
    <row r="112" spans="1:7">
      <c r="A112" s="25">
        <v>111</v>
      </c>
      <c r="B112" s="4" t="s">
        <v>340</v>
      </c>
      <c r="C112" s="3" t="s">
        <v>670</v>
      </c>
      <c r="D112" s="3" t="s">
        <v>61</v>
      </c>
      <c r="E112" s="25" t="s">
        <v>497</v>
      </c>
      <c r="F112" s="5" t="s">
        <v>1931</v>
      </c>
    </row>
    <row r="113" spans="1:7">
      <c r="A113" s="25">
        <v>112</v>
      </c>
      <c r="B113" s="4" t="s">
        <v>342</v>
      </c>
      <c r="C113" s="3" t="s">
        <v>674</v>
      </c>
      <c r="D113" s="3" t="s">
        <v>61</v>
      </c>
      <c r="E113" s="25" t="s">
        <v>498</v>
      </c>
      <c r="F113" s="5" t="s">
        <v>1932</v>
      </c>
    </row>
    <row r="114" spans="1:7">
      <c r="A114" s="25">
        <v>113</v>
      </c>
      <c r="B114" s="4" t="s">
        <v>344</v>
      </c>
      <c r="C114" s="3" t="s">
        <v>683</v>
      </c>
      <c r="D114" s="3" t="s">
        <v>61</v>
      </c>
      <c r="E114" s="25" t="s">
        <v>499</v>
      </c>
      <c r="F114" s="5" t="s">
        <v>1933</v>
      </c>
    </row>
    <row r="115" spans="1:7">
      <c r="A115" s="25">
        <v>114</v>
      </c>
      <c r="B115" s="32" t="s">
        <v>45</v>
      </c>
      <c r="C115" s="28" t="str">
        <f>VLOOKUP(B115,Sheet3!A:G,7,FALSE)</f>
        <v>00317828153729</v>
      </c>
      <c r="D115" s="36" t="s">
        <v>62</v>
      </c>
      <c r="E115" s="12" t="s">
        <v>420</v>
      </c>
      <c r="F115" s="12" t="s">
        <v>142</v>
      </c>
      <c r="G115" s="54" t="s">
        <v>406</v>
      </c>
    </row>
    <row r="116" spans="1:7">
      <c r="A116" s="25">
        <v>115</v>
      </c>
      <c r="B116" s="4" t="s">
        <v>46</v>
      </c>
      <c r="C116" s="3" t="s">
        <v>630</v>
      </c>
      <c r="D116" s="3" t="s">
        <v>62</v>
      </c>
      <c r="E116" s="25" t="s">
        <v>444</v>
      </c>
      <c r="F116" s="5" t="s">
        <v>143</v>
      </c>
    </row>
    <row r="117" spans="1:7">
      <c r="A117" s="25">
        <v>116</v>
      </c>
      <c r="B117" s="4" t="s">
        <v>348</v>
      </c>
      <c r="C117" s="3" t="s">
        <v>613</v>
      </c>
      <c r="D117" s="3" t="s">
        <v>62</v>
      </c>
      <c r="E117" s="25" t="s">
        <v>445</v>
      </c>
      <c r="F117" s="5" t="s">
        <v>1934</v>
      </c>
    </row>
    <row r="118" spans="1:7">
      <c r="A118" s="25">
        <v>117</v>
      </c>
      <c r="B118" s="4" t="s">
        <v>350</v>
      </c>
      <c r="C118" s="3" t="s">
        <v>617</v>
      </c>
      <c r="D118" s="3" t="s">
        <v>62</v>
      </c>
      <c r="E118" s="25" t="s">
        <v>446</v>
      </c>
      <c r="F118" s="5" t="s">
        <v>1935</v>
      </c>
    </row>
    <row r="119" spans="1:7">
      <c r="A119" s="25">
        <v>118</v>
      </c>
      <c r="B119" s="4" t="s">
        <v>352</v>
      </c>
      <c r="C119" s="3" t="s">
        <v>609</v>
      </c>
      <c r="D119" s="3" t="s">
        <v>62</v>
      </c>
      <c r="E119" s="25" t="s">
        <v>447</v>
      </c>
      <c r="F119" s="5" t="s">
        <v>1936</v>
      </c>
    </row>
    <row r="120" spans="1:7">
      <c r="A120" s="25">
        <v>119</v>
      </c>
      <c r="B120" s="32" t="s">
        <v>47</v>
      </c>
      <c r="C120" s="28" t="str">
        <f>VLOOKUP(B120,Sheet3!A:G,7,FALSE)</f>
        <v>00317827715288</v>
      </c>
      <c r="D120" s="36" t="s">
        <v>63</v>
      </c>
      <c r="E120" s="12" t="s">
        <v>421</v>
      </c>
      <c r="F120" s="12" t="s">
        <v>144</v>
      </c>
      <c r="G120" s="54" t="s">
        <v>406</v>
      </c>
    </row>
    <row r="121" spans="1:7">
      <c r="A121" s="25">
        <v>120</v>
      </c>
      <c r="B121" s="6" t="s">
        <v>48</v>
      </c>
      <c r="C121" s="3" t="s">
        <v>583</v>
      </c>
      <c r="D121" s="3" t="s">
        <v>63</v>
      </c>
      <c r="E121" s="25" t="s">
        <v>450</v>
      </c>
      <c r="F121" s="5" t="s">
        <v>145</v>
      </c>
    </row>
    <row r="122" spans="1:7">
      <c r="A122" s="25">
        <v>121</v>
      </c>
      <c r="B122" s="6" t="s">
        <v>356</v>
      </c>
      <c r="C122" s="3" t="s">
        <v>579</v>
      </c>
      <c r="D122" s="3" t="s">
        <v>63</v>
      </c>
      <c r="E122" s="25" t="s">
        <v>448</v>
      </c>
      <c r="F122" s="5" t="s">
        <v>1937</v>
      </c>
    </row>
    <row r="123" spans="1:7">
      <c r="A123" s="25">
        <v>122</v>
      </c>
      <c r="B123" s="6" t="s">
        <v>358</v>
      </c>
      <c r="C123" s="3" t="s">
        <v>570</v>
      </c>
      <c r="D123" s="3" t="s">
        <v>63</v>
      </c>
      <c r="E123" s="25" t="s">
        <v>449</v>
      </c>
      <c r="F123" s="5" t="s">
        <v>1938</v>
      </c>
    </row>
    <row r="124" spans="1:7">
      <c r="A124" s="25">
        <v>123</v>
      </c>
      <c r="B124" s="6" t="s">
        <v>172</v>
      </c>
      <c r="C124" s="3" t="s">
        <v>561</v>
      </c>
      <c r="D124" s="3" t="s">
        <v>63</v>
      </c>
      <c r="E124" s="25" t="s">
        <v>453</v>
      </c>
      <c r="F124" s="5" t="s">
        <v>1940</v>
      </c>
    </row>
    <row r="125" spans="1:7">
      <c r="A125" s="25">
        <v>124</v>
      </c>
      <c r="B125" s="6" t="s">
        <v>361</v>
      </c>
      <c r="C125" s="3" t="s">
        <v>547</v>
      </c>
      <c r="D125" s="3" t="s">
        <v>63</v>
      </c>
      <c r="E125" s="25" t="s">
        <v>454</v>
      </c>
      <c r="F125" s="5" t="s">
        <v>1939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4F59-EFBD-4801-89D1-F3A0B365D521}">
  <dimension ref="A1:J144"/>
  <sheetViews>
    <sheetView zoomScaleNormal="100" workbookViewId="0">
      <pane xSplit="1" ySplit="2" topLeftCell="B82" activePane="bottomRight" state="frozen"/>
      <selection pane="topRight" activeCell="B1" sqref="B1"/>
      <selection pane="bottomLeft" activeCell="A9" sqref="A9"/>
      <selection pane="bottomRight" activeCell="C126" sqref="C126:C144"/>
    </sheetView>
  </sheetViews>
  <sheetFormatPr defaultColWidth="8.7109375" defaultRowHeight="16.5"/>
  <cols>
    <col min="1" max="1" width="16.28515625" style="11" customWidth="1"/>
    <col min="2" max="2" width="13.5703125" style="11" bestFit="1" customWidth="1"/>
    <col min="3" max="3" width="25.28515625" style="22" customWidth="1"/>
    <col min="4" max="4" width="23.42578125" style="11" customWidth="1"/>
    <col min="5" max="5" width="33.5703125" style="31" customWidth="1"/>
    <col min="6" max="6" width="30.140625" style="11" customWidth="1"/>
    <col min="7" max="7" width="23.140625" style="11" customWidth="1"/>
    <col min="8" max="9" width="8.7109375" style="11"/>
    <col min="10" max="10" width="15.85546875" style="11" bestFit="1" customWidth="1"/>
    <col min="11" max="256" width="8.7109375" style="11"/>
    <col min="257" max="257" width="16.28515625" style="11" customWidth="1"/>
    <col min="258" max="258" width="13.5703125" style="11" bestFit="1" customWidth="1"/>
    <col min="259" max="259" width="25.28515625" style="11" customWidth="1"/>
    <col min="260" max="260" width="23.42578125" style="11" customWidth="1"/>
    <col min="261" max="261" width="33.5703125" style="11" customWidth="1"/>
    <col min="262" max="262" width="30.140625" style="11" customWidth="1"/>
    <col min="263" max="263" width="23.140625" style="11" customWidth="1"/>
    <col min="264" max="265" width="8.7109375" style="11"/>
    <col min="266" max="266" width="15.85546875" style="11" bestFit="1" customWidth="1"/>
    <col min="267" max="512" width="8.7109375" style="11"/>
    <col min="513" max="513" width="16.28515625" style="11" customWidth="1"/>
    <col min="514" max="514" width="13.5703125" style="11" bestFit="1" customWidth="1"/>
    <col min="515" max="515" width="25.28515625" style="11" customWidth="1"/>
    <col min="516" max="516" width="23.42578125" style="11" customWidth="1"/>
    <col min="517" max="517" width="33.5703125" style="11" customWidth="1"/>
    <col min="518" max="518" width="30.140625" style="11" customWidth="1"/>
    <col min="519" max="519" width="23.140625" style="11" customWidth="1"/>
    <col min="520" max="521" width="8.7109375" style="11"/>
    <col min="522" max="522" width="15.85546875" style="11" bestFit="1" customWidth="1"/>
    <col min="523" max="768" width="8.7109375" style="11"/>
    <col min="769" max="769" width="16.28515625" style="11" customWidth="1"/>
    <col min="770" max="770" width="13.5703125" style="11" bestFit="1" customWidth="1"/>
    <col min="771" max="771" width="25.28515625" style="11" customWidth="1"/>
    <col min="772" max="772" width="23.42578125" style="11" customWidth="1"/>
    <col min="773" max="773" width="33.5703125" style="11" customWidth="1"/>
    <col min="774" max="774" width="30.140625" style="11" customWidth="1"/>
    <col min="775" max="775" width="23.140625" style="11" customWidth="1"/>
    <col min="776" max="777" width="8.7109375" style="11"/>
    <col min="778" max="778" width="15.85546875" style="11" bestFit="1" customWidth="1"/>
    <col min="779" max="1024" width="8.7109375" style="11"/>
    <col min="1025" max="1025" width="16.28515625" style="11" customWidth="1"/>
    <col min="1026" max="1026" width="13.5703125" style="11" bestFit="1" customWidth="1"/>
    <col min="1027" max="1027" width="25.28515625" style="11" customWidth="1"/>
    <col min="1028" max="1028" width="23.42578125" style="11" customWidth="1"/>
    <col min="1029" max="1029" width="33.5703125" style="11" customWidth="1"/>
    <col min="1030" max="1030" width="30.140625" style="11" customWidth="1"/>
    <col min="1031" max="1031" width="23.140625" style="11" customWidth="1"/>
    <col min="1032" max="1033" width="8.7109375" style="11"/>
    <col min="1034" max="1034" width="15.85546875" style="11" bestFit="1" customWidth="1"/>
    <col min="1035" max="1280" width="8.7109375" style="11"/>
    <col min="1281" max="1281" width="16.28515625" style="11" customWidth="1"/>
    <col min="1282" max="1282" width="13.5703125" style="11" bestFit="1" customWidth="1"/>
    <col min="1283" max="1283" width="25.28515625" style="11" customWidth="1"/>
    <col min="1284" max="1284" width="23.42578125" style="11" customWidth="1"/>
    <col min="1285" max="1285" width="33.5703125" style="11" customWidth="1"/>
    <col min="1286" max="1286" width="30.140625" style="11" customWidth="1"/>
    <col min="1287" max="1287" width="23.140625" style="11" customWidth="1"/>
    <col min="1288" max="1289" width="8.7109375" style="11"/>
    <col min="1290" max="1290" width="15.85546875" style="11" bestFit="1" customWidth="1"/>
    <col min="1291" max="1536" width="8.7109375" style="11"/>
    <col min="1537" max="1537" width="16.28515625" style="11" customWidth="1"/>
    <col min="1538" max="1538" width="13.5703125" style="11" bestFit="1" customWidth="1"/>
    <col min="1539" max="1539" width="25.28515625" style="11" customWidth="1"/>
    <col min="1540" max="1540" width="23.42578125" style="11" customWidth="1"/>
    <col min="1541" max="1541" width="33.5703125" style="11" customWidth="1"/>
    <col min="1542" max="1542" width="30.140625" style="11" customWidth="1"/>
    <col min="1543" max="1543" width="23.140625" style="11" customWidth="1"/>
    <col min="1544" max="1545" width="8.7109375" style="11"/>
    <col min="1546" max="1546" width="15.85546875" style="11" bestFit="1" customWidth="1"/>
    <col min="1547" max="1792" width="8.7109375" style="11"/>
    <col min="1793" max="1793" width="16.28515625" style="11" customWidth="1"/>
    <col min="1794" max="1794" width="13.5703125" style="11" bestFit="1" customWidth="1"/>
    <col min="1795" max="1795" width="25.28515625" style="11" customWidth="1"/>
    <col min="1796" max="1796" width="23.42578125" style="11" customWidth="1"/>
    <col min="1797" max="1797" width="33.5703125" style="11" customWidth="1"/>
    <col min="1798" max="1798" width="30.140625" style="11" customWidth="1"/>
    <col min="1799" max="1799" width="23.140625" style="11" customWidth="1"/>
    <col min="1800" max="1801" width="8.7109375" style="11"/>
    <col min="1802" max="1802" width="15.85546875" style="11" bestFit="1" customWidth="1"/>
    <col min="1803" max="2048" width="8.7109375" style="11"/>
    <col min="2049" max="2049" width="16.28515625" style="11" customWidth="1"/>
    <col min="2050" max="2050" width="13.5703125" style="11" bestFit="1" customWidth="1"/>
    <col min="2051" max="2051" width="25.28515625" style="11" customWidth="1"/>
    <col min="2052" max="2052" width="23.42578125" style="11" customWidth="1"/>
    <col min="2053" max="2053" width="33.5703125" style="11" customWidth="1"/>
    <col min="2054" max="2054" width="30.140625" style="11" customWidth="1"/>
    <col min="2055" max="2055" width="23.140625" style="11" customWidth="1"/>
    <col min="2056" max="2057" width="8.7109375" style="11"/>
    <col min="2058" max="2058" width="15.85546875" style="11" bestFit="1" customWidth="1"/>
    <col min="2059" max="2304" width="8.7109375" style="11"/>
    <col min="2305" max="2305" width="16.28515625" style="11" customWidth="1"/>
    <col min="2306" max="2306" width="13.5703125" style="11" bestFit="1" customWidth="1"/>
    <col min="2307" max="2307" width="25.28515625" style="11" customWidth="1"/>
    <col min="2308" max="2308" width="23.42578125" style="11" customWidth="1"/>
    <col min="2309" max="2309" width="33.5703125" style="11" customWidth="1"/>
    <col min="2310" max="2310" width="30.140625" style="11" customWidth="1"/>
    <col min="2311" max="2311" width="23.140625" style="11" customWidth="1"/>
    <col min="2312" max="2313" width="8.7109375" style="11"/>
    <col min="2314" max="2314" width="15.85546875" style="11" bestFit="1" customWidth="1"/>
    <col min="2315" max="2560" width="8.7109375" style="11"/>
    <col min="2561" max="2561" width="16.28515625" style="11" customWidth="1"/>
    <col min="2562" max="2562" width="13.5703125" style="11" bestFit="1" customWidth="1"/>
    <col min="2563" max="2563" width="25.28515625" style="11" customWidth="1"/>
    <col min="2564" max="2564" width="23.42578125" style="11" customWidth="1"/>
    <col min="2565" max="2565" width="33.5703125" style="11" customWidth="1"/>
    <col min="2566" max="2566" width="30.140625" style="11" customWidth="1"/>
    <col min="2567" max="2567" width="23.140625" style="11" customWidth="1"/>
    <col min="2568" max="2569" width="8.7109375" style="11"/>
    <col min="2570" max="2570" width="15.85546875" style="11" bestFit="1" customWidth="1"/>
    <col min="2571" max="2816" width="8.7109375" style="11"/>
    <col min="2817" max="2817" width="16.28515625" style="11" customWidth="1"/>
    <col min="2818" max="2818" width="13.5703125" style="11" bestFit="1" customWidth="1"/>
    <col min="2819" max="2819" width="25.28515625" style="11" customWidth="1"/>
    <col min="2820" max="2820" width="23.42578125" style="11" customWidth="1"/>
    <col min="2821" max="2821" width="33.5703125" style="11" customWidth="1"/>
    <col min="2822" max="2822" width="30.140625" style="11" customWidth="1"/>
    <col min="2823" max="2823" width="23.140625" style="11" customWidth="1"/>
    <col min="2824" max="2825" width="8.7109375" style="11"/>
    <col min="2826" max="2826" width="15.85546875" style="11" bestFit="1" customWidth="1"/>
    <col min="2827" max="3072" width="8.7109375" style="11"/>
    <col min="3073" max="3073" width="16.28515625" style="11" customWidth="1"/>
    <col min="3074" max="3074" width="13.5703125" style="11" bestFit="1" customWidth="1"/>
    <col min="3075" max="3075" width="25.28515625" style="11" customWidth="1"/>
    <col min="3076" max="3076" width="23.42578125" style="11" customWidth="1"/>
    <col min="3077" max="3077" width="33.5703125" style="11" customWidth="1"/>
    <col min="3078" max="3078" width="30.140625" style="11" customWidth="1"/>
    <col min="3079" max="3079" width="23.140625" style="11" customWidth="1"/>
    <col min="3080" max="3081" width="8.7109375" style="11"/>
    <col min="3082" max="3082" width="15.85546875" style="11" bestFit="1" customWidth="1"/>
    <col min="3083" max="3328" width="8.7109375" style="11"/>
    <col min="3329" max="3329" width="16.28515625" style="11" customWidth="1"/>
    <col min="3330" max="3330" width="13.5703125" style="11" bestFit="1" customWidth="1"/>
    <col min="3331" max="3331" width="25.28515625" style="11" customWidth="1"/>
    <col min="3332" max="3332" width="23.42578125" style="11" customWidth="1"/>
    <col min="3333" max="3333" width="33.5703125" style="11" customWidth="1"/>
    <col min="3334" max="3334" width="30.140625" style="11" customWidth="1"/>
    <col min="3335" max="3335" width="23.140625" style="11" customWidth="1"/>
    <col min="3336" max="3337" width="8.7109375" style="11"/>
    <col min="3338" max="3338" width="15.85546875" style="11" bestFit="1" customWidth="1"/>
    <col min="3339" max="3584" width="8.7109375" style="11"/>
    <col min="3585" max="3585" width="16.28515625" style="11" customWidth="1"/>
    <col min="3586" max="3586" width="13.5703125" style="11" bestFit="1" customWidth="1"/>
    <col min="3587" max="3587" width="25.28515625" style="11" customWidth="1"/>
    <col min="3588" max="3588" width="23.42578125" style="11" customWidth="1"/>
    <col min="3589" max="3589" width="33.5703125" style="11" customWidth="1"/>
    <col min="3590" max="3590" width="30.140625" style="11" customWidth="1"/>
    <col min="3591" max="3591" width="23.140625" style="11" customWidth="1"/>
    <col min="3592" max="3593" width="8.7109375" style="11"/>
    <col min="3594" max="3594" width="15.85546875" style="11" bestFit="1" customWidth="1"/>
    <col min="3595" max="3840" width="8.7109375" style="11"/>
    <col min="3841" max="3841" width="16.28515625" style="11" customWidth="1"/>
    <col min="3842" max="3842" width="13.5703125" style="11" bestFit="1" customWidth="1"/>
    <col min="3843" max="3843" width="25.28515625" style="11" customWidth="1"/>
    <col min="3844" max="3844" width="23.42578125" style="11" customWidth="1"/>
    <col min="3845" max="3845" width="33.5703125" style="11" customWidth="1"/>
    <col min="3846" max="3846" width="30.140625" style="11" customWidth="1"/>
    <col min="3847" max="3847" width="23.140625" style="11" customWidth="1"/>
    <col min="3848" max="3849" width="8.7109375" style="11"/>
    <col min="3850" max="3850" width="15.85546875" style="11" bestFit="1" customWidth="1"/>
    <col min="3851" max="4096" width="8.7109375" style="11"/>
    <col min="4097" max="4097" width="16.28515625" style="11" customWidth="1"/>
    <col min="4098" max="4098" width="13.5703125" style="11" bestFit="1" customWidth="1"/>
    <col min="4099" max="4099" width="25.28515625" style="11" customWidth="1"/>
    <col min="4100" max="4100" width="23.42578125" style="11" customWidth="1"/>
    <col min="4101" max="4101" width="33.5703125" style="11" customWidth="1"/>
    <col min="4102" max="4102" width="30.140625" style="11" customWidth="1"/>
    <col min="4103" max="4103" width="23.140625" style="11" customWidth="1"/>
    <col min="4104" max="4105" width="8.7109375" style="11"/>
    <col min="4106" max="4106" width="15.85546875" style="11" bestFit="1" customWidth="1"/>
    <col min="4107" max="4352" width="8.7109375" style="11"/>
    <col min="4353" max="4353" width="16.28515625" style="11" customWidth="1"/>
    <col min="4354" max="4354" width="13.5703125" style="11" bestFit="1" customWidth="1"/>
    <col min="4355" max="4355" width="25.28515625" style="11" customWidth="1"/>
    <col min="4356" max="4356" width="23.42578125" style="11" customWidth="1"/>
    <col min="4357" max="4357" width="33.5703125" style="11" customWidth="1"/>
    <col min="4358" max="4358" width="30.140625" style="11" customWidth="1"/>
    <col min="4359" max="4359" width="23.140625" style="11" customWidth="1"/>
    <col min="4360" max="4361" width="8.7109375" style="11"/>
    <col min="4362" max="4362" width="15.85546875" style="11" bestFit="1" customWidth="1"/>
    <col min="4363" max="4608" width="8.7109375" style="11"/>
    <col min="4609" max="4609" width="16.28515625" style="11" customWidth="1"/>
    <col min="4610" max="4610" width="13.5703125" style="11" bestFit="1" customWidth="1"/>
    <col min="4611" max="4611" width="25.28515625" style="11" customWidth="1"/>
    <col min="4612" max="4612" width="23.42578125" style="11" customWidth="1"/>
    <col min="4613" max="4613" width="33.5703125" style="11" customWidth="1"/>
    <col min="4614" max="4614" width="30.140625" style="11" customWidth="1"/>
    <col min="4615" max="4615" width="23.140625" style="11" customWidth="1"/>
    <col min="4616" max="4617" width="8.7109375" style="11"/>
    <col min="4618" max="4618" width="15.85546875" style="11" bestFit="1" customWidth="1"/>
    <col min="4619" max="4864" width="8.7109375" style="11"/>
    <col min="4865" max="4865" width="16.28515625" style="11" customWidth="1"/>
    <col min="4866" max="4866" width="13.5703125" style="11" bestFit="1" customWidth="1"/>
    <col min="4867" max="4867" width="25.28515625" style="11" customWidth="1"/>
    <col min="4868" max="4868" width="23.42578125" style="11" customWidth="1"/>
    <col min="4869" max="4869" width="33.5703125" style="11" customWidth="1"/>
    <col min="4870" max="4870" width="30.140625" style="11" customWidth="1"/>
    <col min="4871" max="4871" width="23.140625" style="11" customWidth="1"/>
    <col min="4872" max="4873" width="8.7109375" style="11"/>
    <col min="4874" max="4874" width="15.85546875" style="11" bestFit="1" customWidth="1"/>
    <col min="4875" max="5120" width="8.7109375" style="11"/>
    <col min="5121" max="5121" width="16.28515625" style="11" customWidth="1"/>
    <col min="5122" max="5122" width="13.5703125" style="11" bestFit="1" customWidth="1"/>
    <col min="5123" max="5123" width="25.28515625" style="11" customWidth="1"/>
    <col min="5124" max="5124" width="23.42578125" style="11" customWidth="1"/>
    <col min="5125" max="5125" width="33.5703125" style="11" customWidth="1"/>
    <col min="5126" max="5126" width="30.140625" style="11" customWidth="1"/>
    <col min="5127" max="5127" width="23.140625" style="11" customWidth="1"/>
    <col min="5128" max="5129" width="8.7109375" style="11"/>
    <col min="5130" max="5130" width="15.85546875" style="11" bestFit="1" customWidth="1"/>
    <col min="5131" max="5376" width="8.7109375" style="11"/>
    <col min="5377" max="5377" width="16.28515625" style="11" customWidth="1"/>
    <col min="5378" max="5378" width="13.5703125" style="11" bestFit="1" customWidth="1"/>
    <col min="5379" max="5379" width="25.28515625" style="11" customWidth="1"/>
    <col min="5380" max="5380" width="23.42578125" style="11" customWidth="1"/>
    <col min="5381" max="5381" width="33.5703125" style="11" customWidth="1"/>
    <col min="5382" max="5382" width="30.140625" style="11" customWidth="1"/>
    <col min="5383" max="5383" width="23.140625" style="11" customWidth="1"/>
    <col min="5384" max="5385" width="8.7109375" style="11"/>
    <col min="5386" max="5386" width="15.85546875" style="11" bestFit="1" customWidth="1"/>
    <col min="5387" max="5632" width="8.7109375" style="11"/>
    <col min="5633" max="5633" width="16.28515625" style="11" customWidth="1"/>
    <col min="5634" max="5634" width="13.5703125" style="11" bestFit="1" customWidth="1"/>
    <col min="5635" max="5635" width="25.28515625" style="11" customWidth="1"/>
    <col min="5636" max="5636" width="23.42578125" style="11" customWidth="1"/>
    <col min="5637" max="5637" width="33.5703125" style="11" customWidth="1"/>
    <col min="5638" max="5638" width="30.140625" style="11" customWidth="1"/>
    <col min="5639" max="5639" width="23.140625" style="11" customWidth="1"/>
    <col min="5640" max="5641" width="8.7109375" style="11"/>
    <col min="5642" max="5642" width="15.85546875" style="11" bestFit="1" customWidth="1"/>
    <col min="5643" max="5888" width="8.7109375" style="11"/>
    <col min="5889" max="5889" width="16.28515625" style="11" customWidth="1"/>
    <col min="5890" max="5890" width="13.5703125" style="11" bestFit="1" customWidth="1"/>
    <col min="5891" max="5891" width="25.28515625" style="11" customWidth="1"/>
    <col min="5892" max="5892" width="23.42578125" style="11" customWidth="1"/>
    <col min="5893" max="5893" width="33.5703125" style="11" customWidth="1"/>
    <col min="5894" max="5894" width="30.140625" style="11" customWidth="1"/>
    <col min="5895" max="5895" width="23.140625" style="11" customWidth="1"/>
    <col min="5896" max="5897" width="8.7109375" style="11"/>
    <col min="5898" max="5898" width="15.85546875" style="11" bestFit="1" customWidth="1"/>
    <col min="5899" max="6144" width="8.7109375" style="11"/>
    <col min="6145" max="6145" width="16.28515625" style="11" customWidth="1"/>
    <col min="6146" max="6146" width="13.5703125" style="11" bestFit="1" customWidth="1"/>
    <col min="6147" max="6147" width="25.28515625" style="11" customWidth="1"/>
    <col min="6148" max="6148" width="23.42578125" style="11" customWidth="1"/>
    <col min="6149" max="6149" width="33.5703125" style="11" customWidth="1"/>
    <col min="6150" max="6150" width="30.140625" style="11" customWidth="1"/>
    <col min="6151" max="6151" width="23.140625" style="11" customWidth="1"/>
    <col min="6152" max="6153" width="8.7109375" style="11"/>
    <col min="6154" max="6154" width="15.85546875" style="11" bestFit="1" customWidth="1"/>
    <col min="6155" max="6400" width="8.7109375" style="11"/>
    <col min="6401" max="6401" width="16.28515625" style="11" customWidth="1"/>
    <col min="6402" max="6402" width="13.5703125" style="11" bestFit="1" customWidth="1"/>
    <col min="6403" max="6403" width="25.28515625" style="11" customWidth="1"/>
    <col min="6404" max="6404" width="23.42578125" style="11" customWidth="1"/>
    <col min="6405" max="6405" width="33.5703125" style="11" customWidth="1"/>
    <col min="6406" max="6406" width="30.140625" style="11" customWidth="1"/>
    <col min="6407" max="6407" width="23.140625" style="11" customWidth="1"/>
    <col min="6408" max="6409" width="8.7109375" style="11"/>
    <col min="6410" max="6410" width="15.85546875" style="11" bestFit="1" customWidth="1"/>
    <col min="6411" max="6656" width="8.7109375" style="11"/>
    <col min="6657" max="6657" width="16.28515625" style="11" customWidth="1"/>
    <col min="6658" max="6658" width="13.5703125" style="11" bestFit="1" customWidth="1"/>
    <col min="6659" max="6659" width="25.28515625" style="11" customWidth="1"/>
    <col min="6660" max="6660" width="23.42578125" style="11" customWidth="1"/>
    <col min="6661" max="6661" width="33.5703125" style="11" customWidth="1"/>
    <col min="6662" max="6662" width="30.140625" style="11" customWidth="1"/>
    <col min="6663" max="6663" width="23.140625" style="11" customWidth="1"/>
    <col min="6664" max="6665" width="8.7109375" style="11"/>
    <col min="6666" max="6666" width="15.85546875" style="11" bestFit="1" customWidth="1"/>
    <col min="6667" max="6912" width="8.7109375" style="11"/>
    <col min="6913" max="6913" width="16.28515625" style="11" customWidth="1"/>
    <col min="6914" max="6914" width="13.5703125" style="11" bestFit="1" customWidth="1"/>
    <col min="6915" max="6915" width="25.28515625" style="11" customWidth="1"/>
    <col min="6916" max="6916" width="23.42578125" style="11" customWidth="1"/>
    <col min="6917" max="6917" width="33.5703125" style="11" customWidth="1"/>
    <col min="6918" max="6918" width="30.140625" style="11" customWidth="1"/>
    <col min="6919" max="6919" width="23.140625" style="11" customWidth="1"/>
    <col min="6920" max="6921" width="8.7109375" style="11"/>
    <col min="6922" max="6922" width="15.85546875" style="11" bestFit="1" customWidth="1"/>
    <col min="6923" max="7168" width="8.7109375" style="11"/>
    <col min="7169" max="7169" width="16.28515625" style="11" customWidth="1"/>
    <col min="7170" max="7170" width="13.5703125" style="11" bestFit="1" customWidth="1"/>
    <col min="7171" max="7171" width="25.28515625" style="11" customWidth="1"/>
    <col min="7172" max="7172" width="23.42578125" style="11" customWidth="1"/>
    <col min="7173" max="7173" width="33.5703125" style="11" customWidth="1"/>
    <col min="7174" max="7174" width="30.140625" style="11" customWidth="1"/>
    <col min="7175" max="7175" width="23.140625" style="11" customWidth="1"/>
    <col min="7176" max="7177" width="8.7109375" style="11"/>
    <col min="7178" max="7178" width="15.85546875" style="11" bestFit="1" customWidth="1"/>
    <col min="7179" max="7424" width="8.7109375" style="11"/>
    <col min="7425" max="7425" width="16.28515625" style="11" customWidth="1"/>
    <col min="7426" max="7426" width="13.5703125" style="11" bestFit="1" customWidth="1"/>
    <col min="7427" max="7427" width="25.28515625" style="11" customWidth="1"/>
    <col min="7428" max="7428" width="23.42578125" style="11" customWidth="1"/>
    <col min="7429" max="7429" width="33.5703125" style="11" customWidth="1"/>
    <col min="7430" max="7430" width="30.140625" style="11" customWidth="1"/>
    <col min="7431" max="7431" width="23.140625" style="11" customWidth="1"/>
    <col min="7432" max="7433" width="8.7109375" style="11"/>
    <col min="7434" max="7434" width="15.85546875" style="11" bestFit="1" customWidth="1"/>
    <col min="7435" max="7680" width="8.7109375" style="11"/>
    <col min="7681" max="7681" width="16.28515625" style="11" customWidth="1"/>
    <col min="7682" max="7682" width="13.5703125" style="11" bestFit="1" customWidth="1"/>
    <col min="7683" max="7683" width="25.28515625" style="11" customWidth="1"/>
    <col min="7684" max="7684" width="23.42578125" style="11" customWidth="1"/>
    <col min="7685" max="7685" width="33.5703125" style="11" customWidth="1"/>
    <col min="7686" max="7686" width="30.140625" style="11" customWidth="1"/>
    <col min="7687" max="7687" width="23.140625" style="11" customWidth="1"/>
    <col min="7688" max="7689" width="8.7109375" style="11"/>
    <col min="7690" max="7690" width="15.85546875" style="11" bestFit="1" customWidth="1"/>
    <col min="7691" max="7936" width="8.7109375" style="11"/>
    <col min="7937" max="7937" width="16.28515625" style="11" customWidth="1"/>
    <col min="7938" max="7938" width="13.5703125" style="11" bestFit="1" customWidth="1"/>
    <col min="7939" max="7939" width="25.28515625" style="11" customWidth="1"/>
    <col min="7940" max="7940" width="23.42578125" style="11" customWidth="1"/>
    <col min="7941" max="7941" width="33.5703125" style="11" customWidth="1"/>
    <col min="7942" max="7942" width="30.140625" style="11" customWidth="1"/>
    <col min="7943" max="7943" width="23.140625" style="11" customWidth="1"/>
    <col min="7944" max="7945" width="8.7109375" style="11"/>
    <col min="7946" max="7946" width="15.85546875" style="11" bestFit="1" customWidth="1"/>
    <col min="7947" max="8192" width="8.7109375" style="11"/>
    <col min="8193" max="8193" width="16.28515625" style="11" customWidth="1"/>
    <col min="8194" max="8194" width="13.5703125" style="11" bestFit="1" customWidth="1"/>
    <col min="8195" max="8195" width="25.28515625" style="11" customWidth="1"/>
    <col min="8196" max="8196" width="23.42578125" style="11" customWidth="1"/>
    <col min="8197" max="8197" width="33.5703125" style="11" customWidth="1"/>
    <col min="8198" max="8198" width="30.140625" style="11" customWidth="1"/>
    <col min="8199" max="8199" width="23.140625" style="11" customWidth="1"/>
    <col min="8200" max="8201" width="8.7109375" style="11"/>
    <col min="8202" max="8202" width="15.85546875" style="11" bestFit="1" customWidth="1"/>
    <col min="8203" max="8448" width="8.7109375" style="11"/>
    <col min="8449" max="8449" width="16.28515625" style="11" customWidth="1"/>
    <col min="8450" max="8450" width="13.5703125" style="11" bestFit="1" customWidth="1"/>
    <col min="8451" max="8451" width="25.28515625" style="11" customWidth="1"/>
    <col min="8452" max="8452" width="23.42578125" style="11" customWidth="1"/>
    <col min="8453" max="8453" width="33.5703125" style="11" customWidth="1"/>
    <col min="8454" max="8454" width="30.140625" style="11" customWidth="1"/>
    <col min="8455" max="8455" width="23.140625" style="11" customWidth="1"/>
    <col min="8456" max="8457" width="8.7109375" style="11"/>
    <col min="8458" max="8458" width="15.85546875" style="11" bestFit="1" customWidth="1"/>
    <col min="8459" max="8704" width="8.7109375" style="11"/>
    <col min="8705" max="8705" width="16.28515625" style="11" customWidth="1"/>
    <col min="8706" max="8706" width="13.5703125" style="11" bestFit="1" customWidth="1"/>
    <col min="8707" max="8707" width="25.28515625" style="11" customWidth="1"/>
    <col min="8708" max="8708" width="23.42578125" style="11" customWidth="1"/>
    <col min="8709" max="8709" width="33.5703125" style="11" customWidth="1"/>
    <col min="8710" max="8710" width="30.140625" style="11" customWidth="1"/>
    <col min="8711" max="8711" width="23.140625" style="11" customWidth="1"/>
    <col min="8712" max="8713" width="8.7109375" style="11"/>
    <col min="8714" max="8714" width="15.85546875" style="11" bestFit="1" customWidth="1"/>
    <col min="8715" max="8960" width="8.7109375" style="11"/>
    <col min="8961" max="8961" width="16.28515625" style="11" customWidth="1"/>
    <col min="8962" max="8962" width="13.5703125" style="11" bestFit="1" customWidth="1"/>
    <col min="8963" max="8963" width="25.28515625" style="11" customWidth="1"/>
    <col min="8964" max="8964" width="23.42578125" style="11" customWidth="1"/>
    <col min="8965" max="8965" width="33.5703125" style="11" customWidth="1"/>
    <col min="8966" max="8966" width="30.140625" style="11" customWidth="1"/>
    <col min="8967" max="8967" width="23.140625" style="11" customWidth="1"/>
    <col min="8968" max="8969" width="8.7109375" style="11"/>
    <col min="8970" max="8970" width="15.85546875" style="11" bestFit="1" customWidth="1"/>
    <col min="8971" max="9216" width="8.7109375" style="11"/>
    <col min="9217" max="9217" width="16.28515625" style="11" customWidth="1"/>
    <col min="9218" max="9218" width="13.5703125" style="11" bestFit="1" customWidth="1"/>
    <col min="9219" max="9219" width="25.28515625" style="11" customWidth="1"/>
    <col min="9220" max="9220" width="23.42578125" style="11" customWidth="1"/>
    <col min="9221" max="9221" width="33.5703125" style="11" customWidth="1"/>
    <col min="9222" max="9222" width="30.140625" style="11" customWidth="1"/>
    <col min="9223" max="9223" width="23.140625" style="11" customWidth="1"/>
    <col min="9224" max="9225" width="8.7109375" style="11"/>
    <col min="9226" max="9226" width="15.85546875" style="11" bestFit="1" customWidth="1"/>
    <col min="9227" max="9472" width="8.7109375" style="11"/>
    <col min="9473" max="9473" width="16.28515625" style="11" customWidth="1"/>
    <col min="9474" max="9474" width="13.5703125" style="11" bestFit="1" customWidth="1"/>
    <col min="9475" max="9475" width="25.28515625" style="11" customWidth="1"/>
    <col min="9476" max="9476" width="23.42578125" style="11" customWidth="1"/>
    <col min="9477" max="9477" width="33.5703125" style="11" customWidth="1"/>
    <col min="9478" max="9478" width="30.140625" style="11" customWidth="1"/>
    <col min="9479" max="9479" width="23.140625" style="11" customWidth="1"/>
    <col min="9480" max="9481" width="8.7109375" style="11"/>
    <col min="9482" max="9482" width="15.85546875" style="11" bestFit="1" customWidth="1"/>
    <col min="9483" max="9728" width="8.7109375" style="11"/>
    <col min="9729" max="9729" width="16.28515625" style="11" customWidth="1"/>
    <col min="9730" max="9730" width="13.5703125" style="11" bestFit="1" customWidth="1"/>
    <col min="9731" max="9731" width="25.28515625" style="11" customWidth="1"/>
    <col min="9732" max="9732" width="23.42578125" style="11" customWidth="1"/>
    <col min="9733" max="9733" width="33.5703125" style="11" customWidth="1"/>
    <col min="9734" max="9734" width="30.140625" style="11" customWidth="1"/>
    <col min="9735" max="9735" width="23.140625" style="11" customWidth="1"/>
    <col min="9736" max="9737" width="8.7109375" style="11"/>
    <col min="9738" max="9738" width="15.85546875" style="11" bestFit="1" customWidth="1"/>
    <col min="9739" max="9984" width="8.7109375" style="11"/>
    <col min="9985" max="9985" width="16.28515625" style="11" customWidth="1"/>
    <col min="9986" max="9986" width="13.5703125" style="11" bestFit="1" customWidth="1"/>
    <col min="9987" max="9987" width="25.28515625" style="11" customWidth="1"/>
    <col min="9988" max="9988" width="23.42578125" style="11" customWidth="1"/>
    <col min="9989" max="9989" width="33.5703125" style="11" customWidth="1"/>
    <col min="9990" max="9990" width="30.140625" style="11" customWidth="1"/>
    <col min="9991" max="9991" width="23.140625" style="11" customWidth="1"/>
    <col min="9992" max="9993" width="8.7109375" style="11"/>
    <col min="9994" max="9994" width="15.85546875" style="11" bestFit="1" customWidth="1"/>
    <col min="9995" max="10240" width="8.7109375" style="11"/>
    <col min="10241" max="10241" width="16.28515625" style="11" customWidth="1"/>
    <col min="10242" max="10242" width="13.5703125" style="11" bestFit="1" customWidth="1"/>
    <col min="10243" max="10243" width="25.28515625" style="11" customWidth="1"/>
    <col min="10244" max="10244" width="23.42578125" style="11" customWidth="1"/>
    <col min="10245" max="10245" width="33.5703125" style="11" customWidth="1"/>
    <col min="10246" max="10246" width="30.140625" style="11" customWidth="1"/>
    <col min="10247" max="10247" width="23.140625" style="11" customWidth="1"/>
    <col min="10248" max="10249" width="8.7109375" style="11"/>
    <col min="10250" max="10250" width="15.85546875" style="11" bestFit="1" customWidth="1"/>
    <col min="10251" max="10496" width="8.7109375" style="11"/>
    <col min="10497" max="10497" width="16.28515625" style="11" customWidth="1"/>
    <col min="10498" max="10498" width="13.5703125" style="11" bestFit="1" customWidth="1"/>
    <col min="10499" max="10499" width="25.28515625" style="11" customWidth="1"/>
    <col min="10500" max="10500" width="23.42578125" style="11" customWidth="1"/>
    <col min="10501" max="10501" width="33.5703125" style="11" customWidth="1"/>
    <col min="10502" max="10502" width="30.140625" style="11" customWidth="1"/>
    <col min="10503" max="10503" width="23.140625" style="11" customWidth="1"/>
    <col min="10504" max="10505" width="8.7109375" style="11"/>
    <col min="10506" max="10506" width="15.85546875" style="11" bestFit="1" customWidth="1"/>
    <col min="10507" max="10752" width="8.7109375" style="11"/>
    <col min="10753" max="10753" width="16.28515625" style="11" customWidth="1"/>
    <col min="10754" max="10754" width="13.5703125" style="11" bestFit="1" customWidth="1"/>
    <col min="10755" max="10755" width="25.28515625" style="11" customWidth="1"/>
    <col min="10756" max="10756" width="23.42578125" style="11" customWidth="1"/>
    <col min="10757" max="10757" width="33.5703125" style="11" customWidth="1"/>
    <col min="10758" max="10758" width="30.140625" style="11" customWidth="1"/>
    <col min="10759" max="10759" width="23.140625" style="11" customWidth="1"/>
    <col min="10760" max="10761" width="8.7109375" style="11"/>
    <col min="10762" max="10762" width="15.85546875" style="11" bestFit="1" customWidth="1"/>
    <col min="10763" max="11008" width="8.7109375" style="11"/>
    <col min="11009" max="11009" width="16.28515625" style="11" customWidth="1"/>
    <col min="11010" max="11010" width="13.5703125" style="11" bestFit="1" customWidth="1"/>
    <col min="11011" max="11011" width="25.28515625" style="11" customWidth="1"/>
    <col min="11012" max="11012" width="23.42578125" style="11" customWidth="1"/>
    <col min="11013" max="11013" width="33.5703125" style="11" customWidth="1"/>
    <col min="11014" max="11014" width="30.140625" style="11" customWidth="1"/>
    <col min="11015" max="11015" width="23.140625" style="11" customWidth="1"/>
    <col min="11016" max="11017" width="8.7109375" style="11"/>
    <col min="11018" max="11018" width="15.85546875" style="11" bestFit="1" customWidth="1"/>
    <col min="11019" max="11264" width="8.7109375" style="11"/>
    <col min="11265" max="11265" width="16.28515625" style="11" customWidth="1"/>
    <col min="11266" max="11266" width="13.5703125" style="11" bestFit="1" customWidth="1"/>
    <col min="11267" max="11267" width="25.28515625" style="11" customWidth="1"/>
    <col min="11268" max="11268" width="23.42578125" style="11" customWidth="1"/>
    <col min="11269" max="11269" width="33.5703125" style="11" customWidth="1"/>
    <col min="11270" max="11270" width="30.140625" style="11" customWidth="1"/>
    <col min="11271" max="11271" width="23.140625" style="11" customWidth="1"/>
    <col min="11272" max="11273" width="8.7109375" style="11"/>
    <col min="11274" max="11274" width="15.85546875" style="11" bestFit="1" customWidth="1"/>
    <col min="11275" max="11520" width="8.7109375" style="11"/>
    <col min="11521" max="11521" width="16.28515625" style="11" customWidth="1"/>
    <col min="11522" max="11522" width="13.5703125" style="11" bestFit="1" customWidth="1"/>
    <col min="11523" max="11523" width="25.28515625" style="11" customWidth="1"/>
    <col min="11524" max="11524" width="23.42578125" style="11" customWidth="1"/>
    <col min="11525" max="11525" width="33.5703125" style="11" customWidth="1"/>
    <col min="11526" max="11526" width="30.140625" style="11" customWidth="1"/>
    <col min="11527" max="11527" width="23.140625" style="11" customWidth="1"/>
    <col min="11528" max="11529" width="8.7109375" style="11"/>
    <col min="11530" max="11530" width="15.85546875" style="11" bestFit="1" customWidth="1"/>
    <col min="11531" max="11776" width="8.7109375" style="11"/>
    <col min="11777" max="11777" width="16.28515625" style="11" customWidth="1"/>
    <col min="11778" max="11778" width="13.5703125" style="11" bestFit="1" customWidth="1"/>
    <col min="11779" max="11779" width="25.28515625" style="11" customWidth="1"/>
    <col min="11780" max="11780" width="23.42578125" style="11" customWidth="1"/>
    <col min="11781" max="11781" width="33.5703125" style="11" customWidth="1"/>
    <col min="11782" max="11782" width="30.140625" style="11" customWidth="1"/>
    <col min="11783" max="11783" width="23.140625" style="11" customWidth="1"/>
    <col min="11784" max="11785" width="8.7109375" style="11"/>
    <col min="11786" max="11786" width="15.85546875" style="11" bestFit="1" customWidth="1"/>
    <col min="11787" max="12032" width="8.7109375" style="11"/>
    <col min="12033" max="12033" width="16.28515625" style="11" customWidth="1"/>
    <col min="12034" max="12034" width="13.5703125" style="11" bestFit="1" customWidth="1"/>
    <col min="12035" max="12035" width="25.28515625" style="11" customWidth="1"/>
    <col min="12036" max="12036" width="23.42578125" style="11" customWidth="1"/>
    <col min="12037" max="12037" width="33.5703125" style="11" customWidth="1"/>
    <col min="12038" max="12038" width="30.140625" style="11" customWidth="1"/>
    <col min="12039" max="12039" width="23.140625" style="11" customWidth="1"/>
    <col min="12040" max="12041" width="8.7109375" style="11"/>
    <col min="12042" max="12042" width="15.85546875" style="11" bestFit="1" customWidth="1"/>
    <col min="12043" max="12288" width="8.7109375" style="11"/>
    <col min="12289" max="12289" width="16.28515625" style="11" customWidth="1"/>
    <col min="12290" max="12290" width="13.5703125" style="11" bestFit="1" customWidth="1"/>
    <col min="12291" max="12291" width="25.28515625" style="11" customWidth="1"/>
    <col min="12292" max="12292" width="23.42578125" style="11" customWidth="1"/>
    <col min="12293" max="12293" width="33.5703125" style="11" customWidth="1"/>
    <col min="12294" max="12294" width="30.140625" style="11" customWidth="1"/>
    <col min="12295" max="12295" width="23.140625" style="11" customWidth="1"/>
    <col min="12296" max="12297" width="8.7109375" style="11"/>
    <col min="12298" max="12298" width="15.85546875" style="11" bestFit="1" customWidth="1"/>
    <col min="12299" max="12544" width="8.7109375" style="11"/>
    <col min="12545" max="12545" width="16.28515625" style="11" customWidth="1"/>
    <col min="12546" max="12546" width="13.5703125" style="11" bestFit="1" customWidth="1"/>
    <col min="12547" max="12547" width="25.28515625" style="11" customWidth="1"/>
    <col min="12548" max="12548" width="23.42578125" style="11" customWidth="1"/>
    <col min="12549" max="12549" width="33.5703125" style="11" customWidth="1"/>
    <col min="12550" max="12550" width="30.140625" style="11" customWidth="1"/>
    <col min="12551" max="12551" width="23.140625" style="11" customWidth="1"/>
    <col min="12552" max="12553" width="8.7109375" style="11"/>
    <col min="12554" max="12554" width="15.85546875" style="11" bestFit="1" customWidth="1"/>
    <col min="12555" max="12800" width="8.7109375" style="11"/>
    <col min="12801" max="12801" width="16.28515625" style="11" customWidth="1"/>
    <col min="12802" max="12802" width="13.5703125" style="11" bestFit="1" customWidth="1"/>
    <col min="12803" max="12803" width="25.28515625" style="11" customWidth="1"/>
    <col min="12804" max="12804" width="23.42578125" style="11" customWidth="1"/>
    <col min="12805" max="12805" width="33.5703125" style="11" customWidth="1"/>
    <col min="12806" max="12806" width="30.140625" style="11" customWidth="1"/>
    <col min="12807" max="12807" width="23.140625" style="11" customWidth="1"/>
    <col min="12808" max="12809" width="8.7109375" style="11"/>
    <col min="12810" max="12810" width="15.85546875" style="11" bestFit="1" customWidth="1"/>
    <col min="12811" max="13056" width="8.7109375" style="11"/>
    <col min="13057" max="13057" width="16.28515625" style="11" customWidth="1"/>
    <col min="13058" max="13058" width="13.5703125" style="11" bestFit="1" customWidth="1"/>
    <col min="13059" max="13059" width="25.28515625" style="11" customWidth="1"/>
    <col min="13060" max="13060" width="23.42578125" style="11" customWidth="1"/>
    <col min="13061" max="13061" width="33.5703125" style="11" customWidth="1"/>
    <col min="13062" max="13062" width="30.140625" style="11" customWidth="1"/>
    <col min="13063" max="13063" width="23.140625" style="11" customWidth="1"/>
    <col min="13064" max="13065" width="8.7109375" style="11"/>
    <col min="13066" max="13066" width="15.85546875" style="11" bestFit="1" customWidth="1"/>
    <col min="13067" max="13312" width="8.7109375" style="11"/>
    <col min="13313" max="13313" width="16.28515625" style="11" customWidth="1"/>
    <col min="13314" max="13314" width="13.5703125" style="11" bestFit="1" customWidth="1"/>
    <col min="13315" max="13315" width="25.28515625" style="11" customWidth="1"/>
    <col min="13316" max="13316" width="23.42578125" style="11" customWidth="1"/>
    <col min="13317" max="13317" width="33.5703125" style="11" customWidth="1"/>
    <col min="13318" max="13318" width="30.140625" style="11" customWidth="1"/>
    <col min="13319" max="13319" width="23.140625" style="11" customWidth="1"/>
    <col min="13320" max="13321" width="8.7109375" style="11"/>
    <col min="13322" max="13322" width="15.85546875" style="11" bestFit="1" customWidth="1"/>
    <col min="13323" max="13568" width="8.7109375" style="11"/>
    <col min="13569" max="13569" width="16.28515625" style="11" customWidth="1"/>
    <col min="13570" max="13570" width="13.5703125" style="11" bestFit="1" customWidth="1"/>
    <col min="13571" max="13571" width="25.28515625" style="11" customWidth="1"/>
    <col min="13572" max="13572" width="23.42578125" style="11" customWidth="1"/>
    <col min="13573" max="13573" width="33.5703125" style="11" customWidth="1"/>
    <col min="13574" max="13574" width="30.140625" style="11" customWidth="1"/>
    <col min="13575" max="13575" width="23.140625" style="11" customWidth="1"/>
    <col min="13576" max="13577" width="8.7109375" style="11"/>
    <col min="13578" max="13578" width="15.85546875" style="11" bestFit="1" customWidth="1"/>
    <col min="13579" max="13824" width="8.7109375" style="11"/>
    <col min="13825" max="13825" width="16.28515625" style="11" customWidth="1"/>
    <col min="13826" max="13826" width="13.5703125" style="11" bestFit="1" customWidth="1"/>
    <col min="13827" max="13827" width="25.28515625" style="11" customWidth="1"/>
    <col min="13828" max="13828" width="23.42578125" style="11" customWidth="1"/>
    <col min="13829" max="13829" width="33.5703125" style="11" customWidth="1"/>
    <col min="13830" max="13830" width="30.140625" style="11" customWidth="1"/>
    <col min="13831" max="13831" width="23.140625" style="11" customWidth="1"/>
    <col min="13832" max="13833" width="8.7109375" style="11"/>
    <col min="13834" max="13834" width="15.85546875" style="11" bestFit="1" customWidth="1"/>
    <col min="13835" max="14080" width="8.7109375" style="11"/>
    <col min="14081" max="14081" width="16.28515625" style="11" customWidth="1"/>
    <col min="14082" max="14082" width="13.5703125" style="11" bestFit="1" customWidth="1"/>
    <col min="14083" max="14083" width="25.28515625" style="11" customWidth="1"/>
    <col min="14084" max="14084" width="23.42578125" style="11" customWidth="1"/>
    <col min="14085" max="14085" width="33.5703125" style="11" customWidth="1"/>
    <col min="14086" max="14086" width="30.140625" style="11" customWidth="1"/>
    <col min="14087" max="14087" width="23.140625" style="11" customWidth="1"/>
    <col min="14088" max="14089" width="8.7109375" style="11"/>
    <col min="14090" max="14090" width="15.85546875" style="11" bestFit="1" customWidth="1"/>
    <col min="14091" max="14336" width="8.7109375" style="11"/>
    <col min="14337" max="14337" width="16.28515625" style="11" customWidth="1"/>
    <col min="14338" max="14338" width="13.5703125" style="11" bestFit="1" customWidth="1"/>
    <col min="14339" max="14339" width="25.28515625" style="11" customWidth="1"/>
    <col min="14340" max="14340" width="23.42578125" style="11" customWidth="1"/>
    <col min="14341" max="14341" width="33.5703125" style="11" customWidth="1"/>
    <col min="14342" max="14342" width="30.140625" style="11" customWidth="1"/>
    <col min="14343" max="14343" width="23.140625" style="11" customWidth="1"/>
    <col min="14344" max="14345" width="8.7109375" style="11"/>
    <col min="14346" max="14346" width="15.85546875" style="11" bestFit="1" customWidth="1"/>
    <col min="14347" max="14592" width="8.7109375" style="11"/>
    <col min="14593" max="14593" width="16.28515625" style="11" customWidth="1"/>
    <col min="14594" max="14594" width="13.5703125" style="11" bestFit="1" customWidth="1"/>
    <col min="14595" max="14595" width="25.28515625" style="11" customWidth="1"/>
    <col min="14596" max="14596" width="23.42578125" style="11" customWidth="1"/>
    <col min="14597" max="14597" width="33.5703125" style="11" customWidth="1"/>
    <col min="14598" max="14598" width="30.140625" style="11" customWidth="1"/>
    <col min="14599" max="14599" width="23.140625" style="11" customWidth="1"/>
    <col min="14600" max="14601" width="8.7109375" style="11"/>
    <col min="14602" max="14602" width="15.85546875" style="11" bestFit="1" customWidth="1"/>
    <col min="14603" max="14848" width="8.7109375" style="11"/>
    <col min="14849" max="14849" width="16.28515625" style="11" customWidth="1"/>
    <col min="14850" max="14850" width="13.5703125" style="11" bestFit="1" customWidth="1"/>
    <col min="14851" max="14851" width="25.28515625" style="11" customWidth="1"/>
    <col min="14852" max="14852" width="23.42578125" style="11" customWidth="1"/>
    <col min="14853" max="14853" width="33.5703125" style="11" customWidth="1"/>
    <col min="14854" max="14854" width="30.140625" style="11" customWidth="1"/>
    <col min="14855" max="14855" width="23.140625" style="11" customWidth="1"/>
    <col min="14856" max="14857" width="8.7109375" style="11"/>
    <col min="14858" max="14858" width="15.85546875" style="11" bestFit="1" customWidth="1"/>
    <col min="14859" max="15104" width="8.7109375" style="11"/>
    <col min="15105" max="15105" width="16.28515625" style="11" customWidth="1"/>
    <col min="15106" max="15106" width="13.5703125" style="11" bestFit="1" customWidth="1"/>
    <col min="15107" max="15107" width="25.28515625" style="11" customWidth="1"/>
    <col min="15108" max="15108" width="23.42578125" style="11" customWidth="1"/>
    <col min="15109" max="15109" width="33.5703125" style="11" customWidth="1"/>
    <col min="15110" max="15110" width="30.140625" style="11" customWidth="1"/>
    <col min="15111" max="15111" width="23.140625" style="11" customWidth="1"/>
    <col min="15112" max="15113" width="8.7109375" style="11"/>
    <col min="15114" max="15114" width="15.85546875" style="11" bestFit="1" customWidth="1"/>
    <col min="15115" max="15360" width="8.7109375" style="11"/>
    <col min="15361" max="15361" width="16.28515625" style="11" customWidth="1"/>
    <col min="15362" max="15362" width="13.5703125" style="11" bestFit="1" customWidth="1"/>
    <col min="15363" max="15363" width="25.28515625" style="11" customWidth="1"/>
    <col min="15364" max="15364" width="23.42578125" style="11" customWidth="1"/>
    <col min="15365" max="15365" width="33.5703125" style="11" customWidth="1"/>
    <col min="15366" max="15366" width="30.140625" style="11" customWidth="1"/>
    <col min="15367" max="15367" width="23.140625" style="11" customWidth="1"/>
    <col min="15368" max="15369" width="8.7109375" style="11"/>
    <col min="15370" max="15370" width="15.85546875" style="11" bestFit="1" customWidth="1"/>
    <col min="15371" max="15616" width="8.7109375" style="11"/>
    <col min="15617" max="15617" width="16.28515625" style="11" customWidth="1"/>
    <col min="15618" max="15618" width="13.5703125" style="11" bestFit="1" customWidth="1"/>
    <col min="15619" max="15619" width="25.28515625" style="11" customWidth="1"/>
    <col min="15620" max="15620" width="23.42578125" style="11" customWidth="1"/>
    <col min="15621" max="15621" width="33.5703125" style="11" customWidth="1"/>
    <col min="15622" max="15622" width="30.140625" style="11" customWidth="1"/>
    <col min="15623" max="15623" width="23.140625" style="11" customWidth="1"/>
    <col min="15624" max="15625" width="8.7109375" style="11"/>
    <col min="15626" max="15626" width="15.85546875" style="11" bestFit="1" customWidth="1"/>
    <col min="15627" max="15872" width="8.7109375" style="11"/>
    <col min="15873" max="15873" width="16.28515625" style="11" customWidth="1"/>
    <col min="15874" max="15874" width="13.5703125" style="11" bestFit="1" customWidth="1"/>
    <col min="15875" max="15875" width="25.28515625" style="11" customWidth="1"/>
    <col min="15876" max="15876" width="23.42578125" style="11" customWidth="1"/>
    <col min="15877" max="15877" width="33.5703125" style="11" customWidth="1"/>
    <col min="15878" max="15878" width="30.140625" style="11" customWidth="1"/>
    <col min="15879" max="15879" width="23.140625" style="11" customWidth="1"/>
    <col min="15880" max="15881" width="8.7109375" style="11"/>
    <col min="15882" max="15882" width="15.85546875" style="11" bestFit="1" customWidth="1"/>
    <col min="15883" max="16128" width="8.7109375" style="11"/>
    <col min="16129" max="16129" width="16.28515625" style="11" customWidth="1"/>
    <col min="16130" max="16130" width="13.5703125" style="11" bestFit="1" customWidth="1"/>
    <col min="16131" max="16131" width="25.28515625" style="11" customWidth="1"/>
    <col min="16132" max="16132" width="23.42578125" style="11" customWidth="1"/>
    <col min="16133" max="16133" width="33.5703125" style="11" customWidth="1"/>
    <col min="16134" max="16134" width="30.140625" style="11" customWidth="1"/>
    <col min="16135" max="16135" width="23.140625" style="11" customWidth="1"/>
    <col min="16136" max="16137" width="8.7109375" style="11"/>
    <col min="16138" max="16138" width="15.85546875" style="11" bestFit="1" customWidth="1"/>
    <col min="16139" max="16384" width="8.7109375" style="11"/>
  </cols>
  <sheetData>
    <row r="1" spans="1:10">
      <c r="A1" s="9" t="s">
        <v>147</v>
      </c>
      <c r="B1" s="9" t="s">
        <v>148</v>
      </c>
      <c r="C1" s="9" t="s">
        <v>0</v>
      </c>
      <c r="D1" s="9" t="s">
        <v>149</v>
      </c>
      <c r="E1" s="10" t="s">
        <v>150</v>
      </c>
      <c r="F1" s="9" t="s">
        <v>151</v>
      </c>
      <c r="G1" s="11" t="s">
        <v>152</v>
      </c>
      <c r="J1" s="11" t="s">
        <v>153</v>
      </c>
    </row>
    <row r="2" spans="1:10">
      <c r="A2" s="12">
        <v>1</v>
      </c>
      <c r="B2" s="13" t="s">
        <v>154</v>
      </c>
      <c r="C2" s="14" t="s">
        <v>7</v>
      </c>
      <c r="D2" s="12" t="str">
        <f>VLOOKUP(C2,[1]Sheet1!$A$4:$C$269,2,0)</f>
        <v>052074003255</v>
      </c>
      <c r="E2" s="15" t="str">
        <f>+VLOOKUP(C2,[1]Sheet1!$A$4:$C$269,3,0)</f>
        <v>ththuy@vnuhcm.edu.vn</v>
      </c>
      <c r="F2" s="1" t="s">
        <v>49</v>
      </c>
      <c r="G2" s="11" t="s">
        <v>64</v>
      </c>
      <c r="J2" s="11" t="str">
        <f>VLOOKUP(D2,[2]Sheet3!D$1:J$65536,7,FALSE)</f>
        <v>image233.jpeg</v>
      </c>
    </row>
    <row r="3" spans="1:10">
      <c r="A3" s="5">
        <v>2</v>
      </c>
      <c r="B3" s="16" t="s">
        <v>155</v>
      </c>
      <c r="C3" s="17" t="s">
        <v>8</v>
      </c>
      <c r="D3" s="12" t="str">
        <f>VLOOKUP(C3,[1]Sheet1!$A$4:$C$269,2,0)</f>
        <v>034177018959</v>
      </c>
      <c r="E3" s="15" t="str">
        <f>+VLOOKUP(C3,[1]Sheet1!$A$4:$C$269,3,0)</f>
        <v>huonglan@vnuhcm.edu.vn</v>
      </c>
      <c r="F3" s="1" t="s">
        <v>49</v>
      </c>
      <c r="G3" s="11" t="s">
        <v>65</v>
      </c>
      <c r="J3" s="11" t="str">
        <f>VLOOKUP(D3,[2]Sheet3!D$1:J$65536,7,FALSE)</f>
        <v>image231.jpeg</v>
      </c>
    </row>
    <row r="4" spans="1:10">
      <c r="A4" s="5">
        <v>3</v>
      </c>
      <c r="B4" s="16" t="s">
        <v>156</v>
      </c>
      <c r="C4" s="17" t="s">
        <v>9</v>
      </c>
      <c r="D4" s="12" t="str">
        <f>VLOOKUP(C4,[1]Sheet1!$A$4:$C$269,2,0)</f>
        <v>038064036430</v>
      </c>
      <c r="E4" s="15" t="str">
        <f>+VLOOKUP(C4,[1]Sheet1!$A$4:$C$269,3,0)</f>
        <v>nvhai@vnuhcm.edu.vn</v>
      </c>
      <c r="F4" s="1" t="s">
        <v>49</v>
      </c>
      <c r="G4" s="11" t="s">
        <v>66</v>
      </c>
      <c r="J4" s="11" t="str">
        <f>VLOOKUP(D4,[2]Sheet3!D$1:J$65536,7,FALSE)</f>
        <v>image112.jpeg</v>
      </c>
    </row>
    <row r="5" spans="1:10">
      <c r="A5" s="5">
        <v>4</v>
      </c>
      <c r="B5" s="16" t="s">
        <v>157</v>
      </c>
      <c r="C5" s="17" t="s">
        <v>10</v>
      </c>
      <c r="D5" s="12" t="str">
        <f>VLOOKUP(C5,[1]Sheet1!$A$4:$C$269,2,0)</f>
        <v>082077013772</v>
      </c>
      <c r="E5" s="15" t="str">
        <f>+VLOOKUP(C5,[1]Sheet1!$A$4:$C$269,3,0)</f>
        <v>dvtuan@vnuhcm.edu.vn</v>
      </c>
      <c r="F5" s="1" t="s">
        <v>49</v>
      </c>
      <c r="G5" s="11" t="s">
        <v>67</v>
      </c>
      <c r="J5" s="11" t="str">
        <f>VLOOKUP(D5,[2]Sheet3!D$1:J$65536,7,FALSE)</f>
        <v>image44.jpeg</v>
      </c>
    </row>
    <row r="6" spans="1:10">
      <c r="A6" s="5">
        <v>5</v>
      </c>
      <c r="B6" s="16" t="s">
        <v>158</v>
      </c>
      <c r="C6" s="17" t="s">
        <v>11</v>
      </c>
      <c r="D6" s="12" t="str">
        <f>VLOOKUP(C6,[1]Sheet1!$A$4:$C$269,2,0)</f>
        <v>082075008055</v>
      </c>
      <c r="E6" s="15" t="str">
        <f>+VLOOKUP(C6,[1]Sheet1!$A$4:$C$269,3,0)</f>
        <v>anhkiet@vnuhcm.edu.vn</v>
      </c>
      <c r="F6" s="1" t="s">
        <v>49</v>
      </c>
      <c r="G6" s="11" t="s">
        <v>68</v>
      </c>
      <c r="J6" s="11" t="str">
        <f>VLOOKUP(D6,[2]Sheet3!D$1:J$65536,7,FALSE)</f>
        <v>image230.jpeg</v>
      </c>
    </row>
    <row r="7" spans="1:10">
      <c r="A7" s="5">
        <v>6</v>
      </c>
      <c r="B7" s="16" t="s">
        <v>159</v>
      </c>
      <c r="C7" s="17" t="s">
        <v>12</v>
      </c>
      <c r="D7" s="12" t="str">
        <f>VLOOKUP(C7,[1]Sheet1!$A$4:$C$269,2,0)</f>
        <v>079079032487</v>
      </c>
      <c r="E7" s="15" t="str">
        <f>+VLOOKUP(C7,[1]Sheet1!$A$4:$C$269,3,0)</f>
        <v>tvthang@ktxhcm.edu.vn</v>
      </c>
      <c r="F7" s="1" t="s">
        <v>49</v>
      </c>
      <c r="G7" s="11" t="s">
        <v>69</v>
      </c>
      <c r="J7" s="11" t="s">
        <v>104</v>
      </c>
    </row>
    <row r="8" spans="1:10">
      <c r="A8" s="5">
        <v>7</v>
      </c>
      <c r="B8" s="16" t="s">
        <v>160</v>
      </c>
      <c r="C8" s="17" t="s">
        <v>13</v>
      </c>
      <c r="D8" s="12" t="str">
        <f>VLOOKUP(C8,[1]Sheet1!$A$4:$C$269,2,0)</f>
        <v>044197006714</v>
      </c>
      <c r="E8" s="15" t="s">
        <v>161</v>
      </c>
      <c r="F8" s="2" t="s">
        <v>50</v>
      </c>
      <c r="G8" s="11" t="s">
        <v>70</v>
      </c>
      <c r="H8" s="11" t="s">
        <v>162</v>
      </c>
      <c r="I8" s="11" t="s">
        <v>162</v>
      </c>
      <c r="J8" s="11" t="str">
        <f>VLOOKUP(D8,[2]Sheet3!D$1:J$65536,7,FALSE)</f>
        <v>image288.jpeg</v>
      </c>
    </row>
    <row r="9" spans="1:10">
      <c r="A9" s="18">
        <v>8</v>
      </c>
      <c r="B9" s="19" t="s">
        <v>163</v>
      </c>
      <c r="C9" s="20" t="s">
        <v>14</v>
      </c>
      <c r="D9" s="12" t="str">
        <f>VLOOKUP(C9,[1]Sheet1!$A$4:$C$269,2,0)</f>
        <v>048182000489</v>
      </c>
      <c r="E9" s="15" t="str">
        <f>+VLOOKUP(C9,[1]Sheet1!$A$4:$C$269,3,0)</f>
        <v>ntmthanh@ktxhcm.edu.vn</v>
      </c>
      <c r="F9" s="2" t="s">
        <v>50</v>
      </c>
      <c r="G9" s="11" t="s">
        <v>71</v>
      </c>
      <c r="H9" s="11" t="s">
        <v>162</v>
      </c>
      <c r="I9" s="11" t="s">
        <v>162</v>
      </c>
      <c r="J9" s="11" t="str">
        <f>VLOOKUP(D9,[2]Sheet3!D$1:J$65536,7,FALSE)</f>
        <v>image111.jpeg</v>
      </c>
    </row>
    <row r="10" spans="1:10">
      <c r="A10" s="18">
        <v>9</v>
      </c>
      <c r="B10" s="19" t="s">
        <v>164</v>
      </c>
      <c r="C10" s="20" t="s">
        <v>15</v>
      </c>
      <c r="D10" s="12" t="str">
        <f>VLOOKUP(C10,[1]Sheet1!$A$4:$C$269,2,0)</f>
        <v>082192002762</v>
      </c>
      <c r="E10" s="15" t="str">
        <f>+VLOOKUP(C10,[1]Sheet1!$A$4:$C$269,3,0)</f>
        <v>ngocnhung@vnuhcm.edu.vn</v>
      </c>
      <c r="F10" s="2" t="s">
        <v>50</v>
      </c>
      <c r="G10" s="11" t="s">
        <v>72</v>
      </c>
      <c r="H10" s="11" t="s">
        <v>162</v>
      </c>
      <c r="J10" s="11" t="str">
        <f>VLOOKUP(D10,[2]Sheet3!D$1:J$65536,7,FALSE)</f>
        <v>image257.jpeg</v>
      </c>
    </row>
    <row r="11" spans="1:10">
      <c r="A11" s="18">
        <v>10</v>
      </c>
      <c r="B11" s="19" t="s">
        <v>165</v>
      </c>
      <c r="C11" s="20" t="s">
        <v>16</v>
      </c>
      <c r="D11" s="12" t="str">
        <f>VLOOKUP(C11,[1]Sheet1!$A$4:$C$269,2,0)</f>
        <v>075185018431</v>
      </c>
      <c r="E11" s="15" t="str">
        <f>+VLOOKUP(C11,[1]Sheet1!$A$4:$C$269,3,0)</f>
        <v>pthtuoi@ktxhcm.edu.vn</v>
      </c>
      <c r="F11" s="2" t="s">
        <v>50</v>
      </c>
      <c r="G11" s="11" t="s">
        <v>73</v>
      </c>
      <c r="H11" s="11" t="s">
        <v>162</v>
      </c>
      <c r="J11" s="11" t="str">
        <f>VLOOKUP(D11,[2]Sheet3!D$1:J$65536,7,FALSE)</f>
        <v>image221.jpeg</v>
      </c>
    </row>
    <row r="12" spans="1:10">
      <c r="A12" s="18">
        <v>11</v>
      </c>
      <c r="B12" s="19" t="s">
        <v>166</v>
      </c>
      <c r="C12" s="20" t="s">
        <v>17</v>
      </c>
      <c r="D12" s="12" t="str">
        <f>VLOOKUP(C12,[1]Sheet1!$A$4:$C$269,2,0)</f>
        <v>070084007765</v>
      </c>
      <c r="E12" s="15" t="str">
        <f>+VLOOKUP(C12,[1]Sheet1!$A$4:$C$269,3,0)</f>
        <v>ndchinh@ktxhcm.edu.vn</v>
      </c>
      <c r="F12" s="2" t="s">
        <v>50</v>
      </c>
      <c r="G12" s="11" t="s">
        <v>74</v>
      </c>
      <c r="H12" s="11" t="s">
        <v>162</v>
      </c>
      <c r="J12" s="11" t="str">
        <f>VLOOKUP(D12,[2]Sheet3!D$1:J$65536,7,FALSE)</f>
        <v>image122.jpeg</v>
      </c>
    </row>
    <row r="13" spans="1:10">
      <c r="A13" s="18">
        <v>12</v>
      </c>
      <c r="B13" s="19" t="s">
        <v>167</v>
      </c>
      <c r="C13" s="20" t="s">
        <v>168</v>
      </c>
      <c r="D13" s="12" t="str">
        <f>VLOOKUP(C13,[1]Sheet1!$A$4:$C$269,2,0)</f>
        <v>074199000787</v>
      </c>
      <c r="E13" s="15" t="str">
        <f>+VLOOKUP(C13,[1]Sheet1!$A$4:$C$269,3,0)</f>
        <v>bpnha@ktxhcm.edu.vn</v>
      </c>
      <c r="F13" s="2" t="s">
        <v>50</v>
      </c>
      <c r="J13" s="11" t="str">
        <f>VLOOKUP(D13,[2]Sheet3!D$1:J$65536,7,FALSE)</f>
        <v>image3.jpeg</v>
      </c>
    </row>
    <row r="14" spans="1:10">
      <c r="A14" s="18">
        <v>13</v>
      </c>
      <c r="B14" s="19" t="s">
        <v>169</v>
      </c>
      <c r="C14" s="20" t="s">
        <v>170</v>
      </c>
      <c r="D14" s="12" t="str">
        <f>VLOOKUP(C14,[1]Sheet1!$A$4:$C$269,2,0)</f>
        <v>040196030707</v>
      </c>
      <c r="E14" s="15" t="str">
        <f>+VLOOKUP(C14,[1]Sheet1!$A$4:$C$269,3,0)</f>
        <v>htthien@ktxhcm.edu.vn</v>
      </c>
      <c r="F14" s="2" t="s">
        <v>50</v>
      </c>
      <c r="J14" s="11" t="str">
        <f>VLOOKUP(D14,[2]Sheet3!D$1:J$65536,7,FALSE)</f>
        <v>image63.jpeg</v>
      </c>
    </row>
    <row r="15" spans="1:10">
      <c r="A15" s="18">
        <v>14</v>
      </c>
      <c r="B15" s="19" t="s">
        <v>171</v>
      </c>
      <c r="C15" s="20" t="s">
        <v>172</v>
      </c>
      <c r="D15" s="12" t="str">
        <f>VLOOKUP(C15,[1]Sheet1!$A$4:$C$269,2,0)</f>
        <v>044197002221</v>
      </c>
      <c r="E15" s="15" t="str">
        <f>+VLOOKUP(C15,[1]Sheet1!$A$4:$C$269,3,0)</f>
        <v>trangltt@ktxhcm.edu.vn</v>
      </c>
      <c r="F15" s="2" t="s">
        <v>50</v>
      </c>
      <c r="J15" s="11" t="str">
        <f>VLOOKUP(D15,[2]Sheet3!D$1:J$65536,7,FALSE)</f>
        <v>image92.jpeg</v>
      </c>
    </row>
    <row r="16" spans="1:10">
      <c r="A16" s="18">
        <v>15</v>
      </c>
      <c r="B16" s="19" t="s">
        <v>173</v>
      </c>
      <c r="C16" s="20" t="s">
        <v>174</v>
      </c>
      <c r="D16" s="12" t="str">
        <f>VLOOKUP(C16,[1]Sheet1!$A$4:$C$269,2,0)</f>
        <v>094199004038</v>
      </c>
      <c r="E16" s="15" t="str">
        <f>+VLOOKUP(C16,[1]Sheet1!$A$4:$C$269,3,0)</f>
        <v>ntthao@ktxhcm.edu.vn</v>
      </c>
      <c r="F16" s="2" t="s">
        <v>50</v>
      </c>
      <c r="J16" s="11" t="str">
        <f>VLOOKUP(D16,[2]Sheet3!D$1:J$65536,7,FALSE)</f>
        <v>image152.jpeg</v>
      </c>
    </row>
    <row r="17" spans="1:10">
      <c r="A17" s="18">
        <v>16</v>
      </c>
      <c r="B17" s="19" t="s">
        <v>175</v>
      </c>
      <c r="C17" s="20" t="s">
        <v>176</v>
      </c>
      <c r="D17" s="12" t="str">
        <f>VLOOKUP(C17,[1]Sheet1!$A$4:$C$269,2,0)</f>
        <v>062198003387</v>
      </c>
      <c r="E17" s="15" t="str">
        <f>+VLOOKUP(C17,[1]Sheet1!$A$4:$C$269,3,0)</f>
        <v>ntntram@ktxhcm.edu.vn</v>
      </c>
      <c r="F17" s="2" t="s">
        <v>50</v>
      </c>
      <c r="J17" s="11" t="str">
        <f>VLOOKUP(D17,[2]Sheet3!D$1:J$65536,7,FALSE)</f>
        <v>image165.jpeg</v>
      </c>
    </row>
    <row r="18" spans="1:10">
      <c r="A18" s="5">
        <v>17</v>
      </c>
      <c r="B18" s="21" t="s">
        <v>177</v>
      </c>
      <c r="C18" s="22" t="s">
        <v>18</v>
      </c>
      <c r="D18" s="12" t="str">
        <f>VLOOKUP(C18,[1]Sheet1!$A$4:$C$269,2,0)</f>
        <v>038079038115</v>
      </c>
      <c r="E18" s="15" t="str">
        <f>+VLOOKUP(C18,[1]Sheet1!$A$4:$C$269,3,0)</f>
        <v>lttuan@vnuhcm.edu.vn</v>
      </c>
      <c r="F18" s="2" t="s">
        <v>51</v>
      </c>
      <c r="G18" s="11" t="s">
        <v>75</v>
      </c>
      <c r="H18" s="11" t="s">
        <v>162</v>
      </c>
      <c r="I18" s="11" t="s">
        <v>162</v>
      </c>
      <c r="J18" s="11" t="str">
        <f>VLOOKUP(D18,[2]Sheet3!D$1:J$65536,7,FALSE)</f>
        <v>image70.jpeg</v>
      </c>
    </row>
    <row r="19" spans="1:10">
      <c r="A19" s="18">
        <v>18</v>
      </c>
      <c r="B19" s="19" t="s">
        <v>178</v>
      </c>
      <c r="C19" s="23" t="s">
        <v>19</v>
      </c>
      <c r="D19" s="12" t="str">
        <f>VLOOKUP(C19,[1]Sheet1!$A$4:$C$269,2,0)</f>
        <v>066084009464</v>
      </c>
      <c r="E19" s="15" t="str">
        <f>+VLOOKUP(C19,[1]Sheet1!$A$4:$C$269,3,0)</f>
        <v>trungnv@ktxhcm.edu.vn</v>
      </c>
      <c r="F19" s="2" t="s">
        <v>51</v>
      </c>
      <c r="G19" s="11" t="s">
        <v>76</v>
      </c>
      <c r="H19" s="11" t="s">
        <v>162</v>
      </c>
      <c r="J19" s="11" t="str">
        <f>VLOOKUP(D19,[2]Sheet3!D$1:J$65536,7,FALSE)</f>
        <v>image200.jpeg</v>
      </c>
    </row>
    <row r="20" spans="1:10">
      <c r="A20" s="18">
        <v>19</v>
      </c>
      <c r="B20" s="19" t="s">
        <v>179</v>
      </c>
      <c r="C20" s="23" t="s">
        <v>20</v>
      </c>
      <c r="D20" s="12" t="str">
        <f>VLOOKUP(C20,[1]Sheet1!$A$4:$C$269,2,0)</f>
        <v>052191020632</v>
      </c>
      <c r="E20" s="24" t="s">
        <v>180</v>
      </c>
      <c r="F20" s="2" t="s">
        <v>51</v>
      </c>
      <c r="G20" s="11" t="s">
        <v>77</v>
      </c>
      <c r="H20" s="11" t="s">
        <v>162</v>
      </c>
      <c r="J20" s="11" t="str">
        <f>VLOOKUP(D20,[2]Sheet3!D$1:J$65536,7,FALSE)</f>
        <v>image281.jpeg</v>
      </c>
    </row>
    <row r="21" spans="1:10">
      <c r="A21" s="18">
        <v>20</v>
      </c>
      <c r="B21" s="19" t="s">
        <v>181</v>
      </c>
      <c r="C21" s="20" t="s">
        <v>182</v>
      </c>
      <c r="D21" s="12" t="str">
        <f>VLOOKUP(C21,[1]Sheet1!$A$4:$C$269,2,0)</f>
        <v>036086006308</v>
      </c>
      <c r="E21" s="15" t="str">
        <f>+VLOOKUP(C21,[1]Sheet1!$A$4:$C$269,3,0)</f>
        <v>tccuong@ktxhcm.edu.vn</v>
      </c>
      <c r="F21" s="2" t="s">
        <v>51</v>
      </c>
      <c r="J21" s="11" t="str">
        <f>VLOOKUP(D21,[2]Sheet3!D$1:J$65536,7,FALSE)</f>
        <v>image240.jpeg</v>
      </c>
    </row>
    <row r="22" spans="1:10" ht="33">
      <c r="A22" s="18">
        <v>21</v>
      </c>
      <c r="B22" s="19" t="s">
        <v>183</v>
      </c>
      <c r="C22" s="20" t="s">
        <v>184</v>
      </c>
      <c r="D22" s="12" t="str">
        <f>VLOOKUP(C22,[1]Sheet1!$A$4:$C$269,2,0)</f>
        <v>052183018949</v>
      </c>
      <c r="E22" s="15" t="str">
        <f>+VLOOKUP(C22,[1]Sheet1!$A$4:$C$269,3,0)</f>
        <v>ntttuyen@ktxhcm.edu.vn</v>
      </c>
      <c r="F22" s="2" t="s">
        <v>51</v>
      </c>
      <c r="J22" s="11" t="str">
        <f>VLOOKUP(D22,[2]Sheet3!D$1:J$65536,7,FALSE)</f>
        <v>image169.jpeg</v>
      </c>
    </row>
    <row r="23" spans="1:10">
      <c r="A23" s="18">
        <v>22</v>
      </c>
      <c r="B23" s="19" t="s">
        <v>185</v>
      </c>
      <c r="C23" s="20" t="s">
        <v>186</v>
      </c>
      <c r="D23" s="12" t="str">
        <f>VLOOKUP(C23,[1]Sheet1!$A$4:$C$269,2,0)</f>
        <v>036176014814</v>
      </c>
      <c r="E23" s="15" t="str">
        <f>+VLOOKUP(C23,[1]Sheet1!$A$4:$C$269,3,0)</f>
        <v>nthang@ktxhcm.edu.vn</v>
      </c>
      <c r="F23" s="2" t="s">
        <v>51</v>
      </c>
      <c r="J23" s="11" t="str">
        <f>VLOOKUP(D23,[2]Sheet3!D$1:J$65536,7,FALSE)</f>
        <v>image157.jpeg</v>
      </c>
    </row>
    <row r="24" spans="1:10">
      <c r="A24" s="18">
        <v>23</v>
      </c>
      <c r="B24" s="19" t="s">
        <v>187</v>
      </c>
      <c r="C24" s="20" t="s">
        <v>188</v>
      </c>
      <c r="D24" s="12" t="str">
        <f>VLOOKUP(C24,[1]Sheet1!$A$4:$C$269,2,0)</f>
        <v>042194000293</v>
      </c>
      <c r="E24" s="15" t="str">
        <f>+VLOOKUP(C24,[1]Sheet1!$A$4:$C$269,3,0)</f>
        <v>dtphuong@ktxhcm.edu.vn</v>
      </c>
      <c r="F24" s="2" t="s">
        <v>51</v>
      </c>
      <c r="J24" s="11" t="str">
        <f>VLOOKUP(C24,[2]Sheet3!B$1:J$65536,9,FALSE)</f>
        <v>image20.jpeg</v>
      </c>
    </row>
    <row r="25" spans="1:10">
      <c r="A25" s="18">
        <v>24</v>
      </c>
      <c r="B25" s="19" t="s">
        <v>189</v>
      </c>
      <c r="C25" s="20" t="s">
        <v>190</v>
      </c>
      <c r="D25" s="12" t="str">
        <f>VLOOKUP(C25,[1]Sheet1!$A$4:$C$269,2,0)</f>
        <v>051194010266</v>
      </c>
      <c r="E25" s="15" t="str">
        <f>+VLOOKUP(C25,[1]Sheet1!$A$4:$C$269,3,0)</f>
        <v>ttkthi@ktxhcm.edu.vn</v>
      </c>
      <c r="F25" s="2" t="s">
        <v>51</v>
      </c>
      <c r="J25" s="11" t="str">
        <f>VLOOKUP(D25,[2]Sheet3!D$1:J$65536,7,FALSE)</f>
        <v>image255.jpeg</v>
      </c>
    </row>
    <row r="26" spans="1:10">
      <c r="A26" s="18">
        <v>25</v>
      </c>
      <c r="B26" s="19" t="s">
        <v>191</v>
      </c>
      <c r="C26" s="20" t="s">
        <v>192</v>
      </c>
      <c r="D26" s="12" t="str">
        <f>VLOOKUP(C26,[1]Sheet1!$A$4:$C$269,2,0)</f>
        <v>046193009778</v>
      </c>
      <c r="E26" s="15" t="str">
        <f>+VLOOKUP(C26,[1]Sheet1!$A$4:$C$269,3,0)</f>
        <v>dtdmy@ktxhcm.edu.vn</v>
      </c>
      <c r="F26" s="2" t="s">
        <v>51</v>
      </c>
      <c r="J26" s="11" t="str">
        <f>VLOOKUP(D26,[2]Sheet3!D$1:J$65536,7,FALSE)</f>
        <v>image42.jpeg</v>
      </c>
    </row>
    <row r="27" spans="1:10">
      <c r="A27" s="18">
        <v>26</v>
      </c>
      <c r="B27" s="19" t="s">
        <v>193</v>
      </c>
      <c r="C27" s="20" t="s">
        <v>21</v>
      </c>
      <c r="D27" s="12" t="str">
        <f>VLOOKUP(C27,[1]Sheet1!$A$4:$C$269,2,0)</f>
        <v>040076016070</v>
      </c>
      <c r="E27" s="15" t="str">
        <f>+VLOOKUP(C27,[1]Sheet1!$A$4:$C$269,3,0)</f>
        <v>dbbinh@ktxhcm.edu.vn</v>
      </c>
      <c r="F27" s="2" t="s">
        <v>4</v>
      </c>
      <c r="G27" s="11" t="s">
        <v>78</v>
      </c>
      <c r="H27" s="11" t="s">
        <v>162</v>
      </c>
      <c r="I27" s="11" t="s">
        <v>162</v>
      </c>
      <c r="J27" s="11" t="str">
        <f>VLOOKUP(C27,[2]Sheet3!B$1:J$65536,9,FALSE)</f>
        <v>image14.jpeg</v>
      </c>
    </row>
    <row r="28" spans="1:10" ht="33">
      <c r="A28" s="18">
        <v>27</v>
      </c>
      <c r="B28" s="19" t="s">
        <v>194</v>
      </c>
      <c r="C28" s="20" t="s">
        <v>22</v>
      </c>
      <c r="D28" s="12" t="str">
        <f>VLOOKUP(C28,[1]Sheet1!$A$4:$C$269,2,0)</f>
        <v>087089019199</v>
      </c>
      <c r="E28" s="15" t="str">
        <f>+VLOOKUP(C28,[1]Sheet1!$A$4:$C$269,3,0)</f>
        <v>nhbtrung@ktxhcm.edu.vn</v>
      </c>
      <c r="F28" s="2" t="s">
        <v>4</v>
      </c>
      <c r="G28" s="11" t="s">
        <v>79</v>
      </c>
      <c r="H28" s="11" t="s">
        <v>162</v>
      </c>
      <c r="J28" s="11" t="str">
        <f>VLOOKUP(C28,[2]Sheet3!B$1:J$65536,9,FALSE)</f>
        <v>image125.jpeg</v>
      </c>
    </row>
    <row r="29" spans="1:10">
      <c r="A29" s="18">
        <v>28</v>
      </c>
      <c r="B29" s="19" t="s">
        <v>195</v>
      </c>
      <c r="C29" s="20" t="s">
        <v>23</v>
      </c>
      <c r="D29" s="12" t="str">
        <f>VLOOKUP(C29,[1]Sheet1!$A$4:$C$269,2,0)</f>
        <v>060189016675</v>
      </c>
      <c r="E29" s="15" t="str">
        <f>+VLOOKUP(C29,[1]Sheet1!$A$4:$C$269,3,0)</f>
        <v>ntxloan@ktxhcm.edu.vn</v>
      </c>
      <c r="F29" s="2" t="s">
        <v>4</v>
      </c>
      <c r="G29" s="11" t="s">
        <v>80</v>
      </c>
      <c r="H29" s="11" t="s">
        <v>162</v>
      </c>
      <c r="J29" s="11" t="str">
        <f>VLOOKUP(D29,[2]Sheet3!D$1:J$65536,7,FALSE)</f>
        <v>image176.jpeg</v>
      </c>
    </row>
    <row r="30" spans="1:10">
      <c r="A30" s="18">
        <v>29</v>
      </c>
      <c r="B30" s="19" t="s">
        <v>196</v>
      </c>
      <c r="C30" s="20" t="s">
        <v>197</v>
      </c>
      <c r="D30" s="12" t="str">
        <f>VLOOKUP(C30,[1]Sheet1!$A$4:$C$269,2,0)</f>
        <v>025184011415</v>
      </c>
      <c r="E30" s="15" t="str">
        <f>+VLOOKUP(C30,[1]Sheet1!$A$4:$C$269,3,0)</f>
        <v>ptklien@ktxhcm.edu.vn</v>
      </c>
      <c r="F30" s="2" t="s">
        <v>4</v>
      </c>
      <c r="J30" s="11" t="str">
        <f>VLOOKUP(D30,[2]Sheet3!D$1:J$65536,7,FALSE)</f>
        <v>image232.jpeg</v>
      </c>
    </row>
    <row r="31" spans="1:10">
      <c r="A31" s="18">
        <v>30</v>
      </c>
      <c r="B31" s="19" t="s">
        <v>198</v>
      </c>
      <c r="C31" s="20" t="s">
        <v>199</v>
      </c>
      <c r="D31" s="12" t="str">
        <f>VLOOKUP(C31,[1]Sheet1!$A$4:$C$269,2,0)</f>
        <v>082081000085</v>
      </c>
      <c r="E31" s="15" t="str">
        <f>+VLOOKUP(C31,[1]Sheet1!$A$4:$C$269,3,0)</f>
        <v>pnphuong@ktxhcm.edu.vn</v>
      </c>
      <c r="F31" s="2" t="s">
        <v>4</v>
      </c>
      <c r="J31" s="11" t="str">
        <f>VLOOKUP(D31,[2]Sheet3!D$1:J$65536,7,FALSE)</f>
        <v>image209.jpeg</v>
      </c>
    </row>
    <row r="32" spans="1:10">
      <c r="A32" s="18">
        <v>31</v>
      </c>
      <c r="B32" s="19" t="s">
        <v>200</v>
      </c>
      <c r="C32" s="20" t="s">
        <v>201</v>
      </c>
      <c r="D32" s="12" t="str">
        <f>VLOOKUP(C32,[1]Sheet1!$A$4:$C$269,2,0)</f>
        <v>070092008110</v>
      </c>
      <c r="E32" s="15" t="str">
        <f>+VLOOKUP(C32,[1]Sheet1!$A$4:$C$269,3,0)</f>
        <v>tmthanh@ktxhcm.edu.vn</v>
      </c>
      <c r="F32" s="2" t="s">
        <v>4</v>
      </c>
      <c r="J32" s="11" t="str">
        <f>VLOOKUP(D32,[2]Sheet3!D$1:J$65536,7,FALSE)</f>
        <v>image249.jpeg</v>
      </c>
    </row>
    <row r="33" spans="1:10">
      <c r="A33" s="18">
        <v>32</v>
      </c>
      <c r="B33" s="19" t="s">
        <v>202</v>
      </c>
      <c r="C33" s="20" t="s">
        <v>203</v>
      </c>
      <c r="D33" s="12" t="str">
        <f>VLOOKUP(C33,[1]Sheet1!$A$4:$C$269,2,0)</f>
        <v>080183004673</v>
      </c>
      <c r="E33" s="15" t="str">
        <f>+VLOOKUP(C33,[1]Sheet1!$A$4:$C$269,3,0)</f>
        <v>dtquyen@ktxhcm.edu.vn</v>
      </c>
      <c r="F33" s="2" t="s">
        <v>4</v>
      </c>
      <c r="J33" s="11" t="str">
        <f>VLOOKUP(D33,[2]Sheet3!D$1:J$65536,7,FALSE)</f>
        <v>image27.jpeg</v>
      </c>
    </row>
    <row r="34" spans="1:10">
      <c r="A34" s="18">
        <v>33</v>
      </c>
      <c r="B34" s="19" t="s">
        <v>204</v>
      </c>
      <c r="C34" s="20" t="s">
        <v>205</v>
      </c>
      <c r="D34" s="12" t="str">
        <f>VLOOKUP(C34,[1]Sheet1!$A$4:$C$269,2,0)</f>
        <v>079099026760</v>
      </c>
      <c r="E34" s="15" t="str">
        <f>+VLOOKUP(C34,[1]Sheet1!$A$4:$C$269,3,0)</f>
        <v>clbao@ktxhcm.edu.vn</v>
      </c>
      <c r="F34" s="2" t="s">
        <v>4</v>
      </c>
      <c r="J34" s="11" t="str">
        <f>VLOOKUP(D34,[2]Sheet3!D$1:J$65536,7,FALSE)</f>
        <v>image12.jpeg</v>
      </c>
    </row>
    <row r="35" spans="1:10">
      <c r="A35" s="18">
        <v>34</v>
      </c>
      <c r="B35" s="19" t="s">
        <v>206</v>
      </c>
      <c r="C35" s="20" t="s">
        <v>207</v>
      </c>
      <c r="D35" s="12" t="str">
        <f>VLOOKUP(C35,[1]Sheet1!$A$4:$C$269,2,0)</f>
        <v>046085003019</v>
      </c>
      <c r="E35" s="15" t="str">
        <f>+VLOOKUP(C35,[1]Sheet1!$A$4:$C$269,3,0)</f>
        <v>nttuy@ktxhcm.edu.vn</v>
      </c>
      <c r="F35" s="2" t="s">
        <v>4</v>
      </c>
      <c r="J35" s="11" t="str">
        <f>VLOOKUP(D35,[2]Sheet3!D$1:J$65536,7,FALSE)</f>
        <v>image154.jpeg</v>
      </c>
    </row>
    <row r="36" spans="1:10">
      <c r="A36" s="5">
        <v>35</v>
      </c>
      <c r="B36" s="16" t="s">
        <v>208</v>
      </c>
      <c r="C36" s="20" t="s">
        <v>209</v>
      </c>
      <c r="D36" s="12" t="str">
        <f>VLOOKUP(C36,[1]Sheet1!$A$4:$C$269,2,0)</f>
        <v>060200012353</v>
      </c>
      <c r="E36" s="15" t="str">
        <f>+VLOOKUP(C36,[1]Sheet1!$A$4:$C$269,3,0)</f>
        <v>pttuan@ktxhcm.edu.vn</v>
      </c>
      <c r="F36" s="2" t="s">
        <v>4</v>
      </c>
      <c r="J36" s="11" t="str">
        <f>VLOOKUP(D36,[2]Sheet3!D$1:J$65536,7,FALSE)</f>
        <v>image212.jpeg</v>
      </c>
    </row>
    <row r="37" spans="1:10">
      <c r="A37" s="5">
        <v>36</v>
      </c>
      <c r="B37" s="16" t="s">
        <v>210</v>
      </c>
      <c r="C37" s="20" t="s">
        <v>24</v>
      </c>
      <c r="D37" s="12" t="str">
        <f>VLOOKUP(C37,[1]Sheet1!$A$4:$C$269,2,0)</f>
        <v>036087021699</v>
      </c>
      <c r="E37" s="15" t="str">
        <f>+VLOOKUP(C37,[1]Sheet1!$A$4:$C$269,3,0)</f>
        <v>nvloi@ktxhcm.edu.vn</v>
      </c>
      <c r="F37" s="2" t="s">
        <v>52</v>
      </c>
      <c r="G37" s="11" t="s">
        <v>81</v>
      </c>
      <c r="H37" s="11" t="s">
        <v>162</v>
      </c>
      <c r="J37" s="11" t="str">
        <f>VLOOKUP(D37,[2]Sheet3!D$1:J$65536,7,FALSE)</f>
        <v>image192.jpeg</v>
      </c>
    </row>
    <row r="38" spans="1:10">
      <c r="A38" s="5">
        <v>37</v>
      </c>
      <c r="B38" s="16" t="s">
        <v>211</v>
      </c>
      <c r="C38" s="20" t="s">
        <v>212</v>
      </c>
      <c r="D38" s="12" t="str">
        <f>VLOOKUP(C38,[1]Sheet1!$A$4:$C$269,2,0)</f>
        <v>052198002926</v>
      </c>
      <c r="E38" s="15" t="str">
        <f>+VLOOKUP(C38,[1]Sheet1!$A$4:$C$269,3,0)</f>
        <v>dttmy@ktxhcm.edu.vn</v>
      </c>
      <c r="F38" s="2" t="s">
        <v>52</v>
      </c>
      <c r="J38" s="11" t="str">
        <f>VLOOKUP(D38,[2]Sheet3!D$1:J$65536,7,FALSE)</f>
        <v>image21.jpeg</v>
      </c>
    </row>
    <row r="39" spans="1:10">
      <c r="A39" s="5">
        <v>38</v>
      </c>
      <c r="B39" s="16" t="s">
        <v>213</v>
      </c>
      <c r="C39" s="20" t="s">
        <v>214</v>
      </c>
      <c r="D39" s="12" t="str">
        <f>VLOOKUP(C39,[1]Sheet1!$A$4:$C$269,2,0)</f>
        <v>075200003513</v>
      </c>
      <c r="E39" s="15" t="str">
        <f>+VLOOKUP(C39,[1]Sheet1!$A$4:$C$269,3,0)</f>
        <v>nntan@ktxhcm.edu.vn</v>
      </c>
      <c r="F39" s="2" t="s">
        <v>52</v>
      </c>
      <c r="J39" s="11" t="str">
        <f>VLOOKUP(D39,[2]Sheet3!D$1:J$65536,7,FALSE)</f>
        <v>image141.jpeg</v>
      </c>
    </row>
    <row r="40" spans="1:10">
      <c r="A40" s="5">
        <v>39</v>
      </c>
      <c r="B40" s="16" t="s">
        <v>215</v>
      </c>
      <c r="C40" s="20" t="s">
        <v>216</v>
      </c>
      <c r="D40" s="12" t="str">
        <f>VLOOKUP(C40,[1]Sheet1!$A$4:$C$269,2,0)</f>
        <v>064191005736</v>
      </c>
      <c r="E40" s="15" t="str">
        <f>+VLOOKUP(C40,[1]Sheet1!$A$4:$C$269,3,0)</f>
        <v>dtnga@ktxhcm.edu.vn</v>
      </c>
      <c r="F40" s="2" t="s">
        <v>52</v>
      </c>
      <c r="J40" s="11" t="str">
        <f>VLOOKUP(D40,[2]Sheet3!D$1:J$65536,7,FALSE)</f>
        <v>image19.jpeg</v>
      </c>
    </row>
    <row r="41" spans="1:10">
      <c r="A41" s="5">
        <v>40</v>
      </c>
      <c r="B41" s="16" t="s">
        <v>217</v>
      </c>
      <c r="C41" s="20" t="s">
        <v>25</v>
      </c>
      <c r="D41" s="12" t="str">
        <f>VLOOKUP(C41,[1]Sheet1!$A$4:$C$269,2,0)</f>
        <v>027071000167</v>
      </c>
      <c r="E41" s="15" t="str">
        <f>+VLOOKUP(C41,[1]Sheet1!$A$4:$C$269,3,0)</f>
        <v>dmtuan@vnuhcm.edu.vn</v>
      </c>
      <c r="F41" s="2" t="s">
        <v>53</v>
      </c>
      <c r="G41" s="11" t="s">
        <v>82</v>
      </c>
      <c r="H41" s="11" t="s">
        <v>162</v>
      </c>
      <c r="I41" s="11" t="s">
        <v>162</v>
      </c>
      <c r="J41" s="11" t="str">
        <f>VLOOKUP(D41,[2]Sheet3!D$1:J$65536,7,FALSE)</f>
        <v>image16.jpeg</v>
      </c>
    </row>
    <row r="42" spans="1:10">
      <c r="A42" s="5">
        <v>41</v>
      </c>
      <c r="B42" s="16" t="s">
        <v>218</v>
      </c>
      <c r="C42" s="20" t="s">
        <v>26</v>
      </c>
      <c r="D42" s="12" t="str">
        <f>VLOOKUP(C42,[1]Sheet1!$A$4:$C$269,2,0)</f>
        <v>045187001641</v>
      </c>
      <c r="E42" s="15" t="str">
        <f>+VLOOKUP(C42,[1]Sheet1!$A$4:$C$269,3,0)</f>
        <v>lttthuy@ktxhcm.edu.vn</v>
      </c>
      <c r="F42" s="2" t="s">
        <v>53</v>
      </c>
      <c r="G42" s="11" t="s">
        <v>83</v>
      </c>
      <c r="H42" s="11" t="s">
        <v>162</v>
      </c>
      <c r="J42" s="11" t="str">
        <f>VLOOKUP(D42,[2]Sheet3!D$1:J$65536,7,FALSE)</f>
        <v>image89.jpeg</v>
      </c>
    </row>
    <row r="43" spans="1:10">
      <c r="A43" s="18">
        <v>42</v>
      </c>
      <c r="B43" s="19" t="s">
        <v>219</v>
      </c>
      <c r="C43" s="20" t="s">
        <v>27</v>
      </c>
      <c r="D43" s="12" t="str">
        <f>VLOOKUP(C43,[1]Sheet1!$A$4:$C$269,2,0)</f>
        <v>001070000159</v>
      </c>
      <c r="E43" s="15" t="str">
        <f>+VLOOKUP(C43,[1]Sheet1!$A$4:$C$269,3,0)</f>
        <v>dcminh@ktxhcm.edu.vn</v>
      </c>
      <c r="F43" s="2" t="s">
        <v>53</v>
      </c>
      <c r="G43" s="11" t="s">
        <v>5</v>
      </c>
      <c r="H43" s="11" t="s">
        <v>162</v>
      </c>
      <c r="J43" s="11" t="str">
        <f>VLOOKUP(D43,[2]Sheet3!D$1:J$65536,7,FALSE)</f>
        <v>image24.jpeg</v>
      </c>
    </row>
    <row r="44" spans="1:10">
      <c r="A44" s="18">
        <v>43</v>
      </c>
      <c r="B44" s="19" t="s">
        <v>220</v>
      </c>
      <c r="C44" s="20" t="s">
        <v>221</v>
      </c>
      <c r="D44" s="12" t="str">
        <f>VLOOKUP(C44,[1]Sheet1!$A$4:$C$269,2,0)</f>
        <v>006087002885</v>
      </c>
      <c r="E44" s="15" t="str">
        <f>+VLOOKUP(C44,[1]Sheet1!$A$4:$C$269,3,0)</f>
        <v>pqhuynh@ktxhcm.edu.vn</v>
      </c>
      <c r="F44" s="2" t="s">
        <v>53</v>
      </c>
      <c r="J44" s="11" t="str">
        <f>VLOOKUP(D44,[2]Sheet3!D$1:J$65536,7,FALSE)</f>
        <v>image220.jpeg</v>
      </c>
    </row>
    <row r="45" spans="1:10">
      <c r="A45" s="18">
        <v>44</v>
      </c>
      <c r="B45" s="19" t="s">
        <v>222</v>
      </c>
      <c r="C45" s="20" t="s">
        <v>223</v>
      </c>
      <c r="D45" s="12" t="str">
        <f>VLOOKUP(C45,[1]Sheet1!$A$4:$C$269,2,0)</f>
        <v>049093011992</v>
      </c>
      <c r="E45" s="15" t="str">
        <f>+VLOOKUP(C45,[1]Sheet1!$A$4:$C$269,3,0)</f>
        <v>tvsang@ktxhcm.edu.vn</v>
      </c>
      <c r="F45" s="2" t="s">
        <v>53</v>
      </c>
      <c r="J45" s="11" t="str">
        <f>VLOOKUP(D45,[2]Sheet3!D$1:J$65536,7,FALSE)</f>
        <v>image282.jpeg</v>
      </c>
    </row>
    <row r="46" spans="1:10">
      <c r="A46" s="18">
        <v>45</v>
      </c>
      <c r="B46" s="19" t="s">
        <v>224</v>
      </c>
      <c r="C46" s="20" t="s">
        <v>225</v>
      </c>
      <c r="D46" s="12" t="str">
        <f>VLOOKUP(C46,[1]Sheet1!$A$4:$C$269,2,0)</f>
        <v>038195009097</v>
      </c>
      <c r="E46" s="15" t="str">
        <f>+VLOOKUP(C46,[1]Sheet1!$A$4:$C$269,3,0)</f>
        <v>mtoanh@ktxhcm.edu.vn</v>
      </c>
      <c r="F46" s="2" t="s">
        <v>53</v>
      </c>
      <c r="J46" s="11" t="str">
        <f>VLOOKUP(D46,[2]Sheet3!D$1:J$65536,7,FALSE)</f>
        <v>image106.jpeg</v>
      </c>
    </row>
    <row r="47" spans="1:10">
      <c r="A47" s="18">
        <v>46</v>
      </c>
      <c r="B47" s="19" t="s">
        <v>226</v>
      </c>
      <c r="C47" s="20" t="s">
        <v>227</v>
      </c>
      <c r="D47" s="12" t="str">
        <f>VLOOKUP(C47,[1]Sheet1!$A$4:$C$269,2,0)</f>
        <v>083099011956</v>
      </c>
      <c r="E47" s="15" t="str">
        <f>+VLOOKUP(C47,[1]Sheet1!$A$4:$C$269,3,0)</f>
        <v>nhnghi@ktxhcm.edu.vn</v>
      </c>
      <c r="F47" s="2" t="s">
        <v>53</v>
      </c>
      <c r="J47" s="11" t="str">
        <f>VLOOKUP(D47,[2]Sheet3!D$1:J$65536,7,FALSE)</f>
        <v>image110.jpeg</v>
      </c>
    </row>
    <row r="48" spans="1:10">
      <c r="A48" s="18">
        <v>47</v>
      </c>
      <c r="B48" s="19" t="s">
        <v>228</v>
      </c>
      <c r="C48" s="20" t="s">
        <v>229</v>
      </c>
      <c r="D48" s="12" t="str">
        <f>VLOOKUP(C48,[1]Sheet1!$A$4:$C$269,2,0)</f>
        <v>066092017620</v>
      </c>
      <c r="E48" s="15" t="str">
        <f>+VLOOKUP(C48,[1]Sheet1!$A$4:$C$269,3,0)</f>
        <v>nqhai@ktxhcm.edu.vn</v>
      </c>
      <c r="F48" s="2" t="s">
        <v>53</v>
      </c>
      <c r="J48" s="11" t="str">
        <f>VLOOKUP(D48,[2]Sheet3!D$1:J$65536,7,FALSE)</f>
        <v>image144.jpeg</v>
      </c>
    </row>
    <row r="49" spans="1:10">
      <c r="A49" s="18">
        <v>48</v>
      </c>
      <c r="B49" s="19" t="s">
        <v>230</v>
      </c>
      <c r="C49" s="20" t="s">
        <v>231</v>
      </c>
      <c r="D49" s="12" t="str">
        <f>VLOOKUP(C49,[1]Sheet1!$A$4:$C$269,2,0)</f>
        <v>084096000111</v>
      </c>
      <c r="E49" s="15" t="str">
        <f>+VLOOKUP(C49,[1]Sheet1!$A$4:$C$269,3,0)</f>
        <v>nchai@ktxhcm.edu.vn</v>
      </c>
      <c r="F49" s="2" t="s">
        <v>53</v>
      </c>
      <c r="J49" s="11" t="str">
        <f>VLOOKUP(D49,[2]Sheet3!D$1:J$65536,7,FALSE)</f>
        <v>image114.jpeg</v>
      </c>
    </row>
    <row r="50" spans="1:10">
      <c r="A50" s="18">
        <v>49</v>
      </c>
      <c r="B50" s="19" t="s">
        <v>232</v>
      </c>
      <c r="C50" s="20" t="s">
        <v>233</v>
      </c>
      <c r="D50" s="12" t="str">
        <f>VLOOKUP(C50,[1]Sheet1!$A$4:$C$269,2,0)</f>
        <v>079086027637</v>
      </c>
      <c r="E50" s="15" t="str">
        <f>+VLOOKUP(C50,[1]Sheet1!$A$4:$C$269,3,0)</f>
        <v>nkhiep@ktxhcm.edu.vn</v>
      </c>
      <c r="F50" s="2" t="s">
        <v>53</v>
      </c>
      <c r="J50" s="11" t="str">
        <f>VLOOKUP(D50,[2]Sheet3!D$1:J$65536,7,FALSE)</f>
        <v>image134.jpeg</v>
      </c>
    </row>
    <row r="51" spans="1:10">
      <c r="A51" s="18">
        <v>50</v>
      </c>
      <c r="B51" s="19" t="s">
        <v>234</v>
      </c>
      <c r="C51" s="20" t="s">
        <v>235</v>
      </c>
      <c r="D51" s="12" t="str">
        <f>VLOOKUP(C51,[1]Sheet1!$A$4:$C$269,2,0)</f>
        <v>051193013179</v>
      </c>
      <c r="E51" s="15" t="str">
        <f>+VLOOKUP(C51,[1]Sheet1!$A$4:$C$269,3,0)</f>
        <v>ntnnu@ktxhcm.edu.vn</v>
      </c>
      <c r="F51" s="2" t="s">
        <v>53</v>
      </c>
      <c r="J51" s="11" t="str">
        <f>VLOOKUP(D51,[2]Sheet3!D$1:J$65536,7,FALSE)</f>
        <v>image166.jpeg</v>
      </c>
    </row>
    <row r="52" spans="1:10">
      <c r="A52" s="18">
        <v>51</v>
      </c>
      <c r="B52" s="19" t="s">
        <v>236</v>
      </c>
      <c r="C52" s="20" t="s">
        <v>28</v>
      </c>
      <c r="D52" s="12" t="str">
        <f>VLOOKUP(C52,[1]Sheet1!$A$4:$C$269,2,0)</f>
        <v>038083024704</v>
      </c>
      <c r="E52" s="15" t="str">
        <f>+VLOOKUP(C52,[1]Sheet1!$A$4:$C$269,3,0)</f>
        <v>hvminh@ktxhcm.edu.vn</v>
      </c>
      <c r="F52" s="2" t="s">
        <v>54</v>
      </c>
      <c r="G52" s="11" t="s">
        <v>84</v>
      </c>
      <c r="H52" s="11" t="s">
        <v>162</v>
      </c>
      <c r="I52" s="11" t="s">
        <v>162</v>
      </c>
      <c r="J52" s="11" t="str">
        <f>VLOOKUP(D52,[2]Sheet3!D$1:J$65536,7,FALSE)</f>
        <v>image59.jpeg</v>
      </c>
    </row>
    <row r="53" spans="1:10">
      <c r="A53" s="18">
        <v>52</v>
      </c>
      <c r="B53" s="19" t="s">
        <v>237</v>
      </c>
      <c r="C53" s="20" t="s">
        <v>29</v>
      </c>
      <c r="D53" s="12" t="str">
        <f>VLOOKUP(C53,[1]Sheet1!$A$4:$C$269,2,0)</f>
        <v>052082004133</v>
      </c>
      <c r="E53" s="15" t="str">
        <f>+VLOOKUP(C53,[1]Sheet1!$A$4:$C$269,3,0)</f>
        <v>pttu@ktxhcm.edu.vn</v>
      </c>
      <c r="F53" s="2" t="s">
        <v>54</v>
      </c>
      <c r="G53" s="11" t="s">
        <v>85</v>
      </c>
      <c r="H53" s="11" t="s">
        <v>162</v>
      </c>
      <c r="J53" s="11" t="str">
        <f>VLOOKUP(D53,[2]Sheet3!D$1:J$65536,7,FALSE)</f>
        <v>image211.jpeg</v>
      </c>
    </row>
    <row r="54" spans="1:10">
      <c r="A54" s="18">
        <v>53</v>
      </c>
      <c r="B54" s="19" t="s">
        <v>238</v>
      </c>
      <c r="C54" s="20" t="s">
        <v>239</v>
      </c>
      <c r="D54" s="12" t="str">
        <f>VLOOKUP(C54,[1]Sheet1!$A$4:$C$269,2,0)</f>
        <v>056094006282</v>
      </c>
      <c r="E54" s="15" t="str">
        <f>+VLOOKUP(C54,[1]Sheet1!$A$4:$C$269,3,0)</f>
        <v>ldhieu@ktxhcm.edu.vn</v>
      </c>
      <c r="F54" s="2" t="s">
        <v>54</v>
      </c>
      <c r="J54" s="11" t="str">
        <f>VLOOKUP(D54,[2]Sheet3!D$1:J$65536,7,FALSE)</f>
        <v>image102.jpeg</v>
      </c>
    </row>
    <row r="55" spans="1:10">
      <c r="A55" s="18">
        <v>54</v>
      </c>
      <c r="B55" s="19" t="s">
        <v>240</v>
      </c>
      <c r="C55" s="20" t="s">
        <v>241</v>
      </c>
      <c r="D55" s="12" t="str">
        <f>VLOOKUP(C55,[1]Sheet1!$A$4:$C$269,2,0)</f>
        <v>051189012957</v>
      </c>
      <c r="E55" s="15" t="str">
        <f>+VLOOKUP(C55,[1]Sheet1!$A$4:$C$269,3,0)</f>
        <v>ctmnhat@ktxhcm.edu.vn</v>
      </c>
      <c r="F55" s="2" t="s">
        <v>54</v>
      </c>
      <c r="J55" s="11" t="str">
        <f>VLOOKUP(C55,[2]Sheet3!B$1:J$65536,9,FALSE)</f>
        <v>image9.jpeg</v>
      </c>
    </row>
    <row r="56" spans="1:10">
      <c r="A56" s="18">
        <v>55</v>
      </c>
      <c r="B56" s="19" t="s">
        <v>242</v>
      </c>
      <c r="C56" s="20" t="s">
        <v>243</v>
      </c>
      <c r="D56" s="12" t="str">
        <f>VLOOKUP(C56,[1]Sheet1!$A$4:$C$269,2,0)</f>
        <v>040066000338</v>
      </c>
      <c r="E56" s="15" t="str">
        <f>+VLOOKUP(C56,[1]Sheet1!$A$4:$C$269,3,0)</f>
        <v>dvbinh@ktxhcm.edu.vn</v>
      </c>
      <c r="F56" s="2" t="s">
        <v>54</v>
      </c>
      <c r="J56" s="11" t="str">
        <f>VLOOKUP(D56,[2]Sheet3!D$1:J$65536,7,FALSE)</f>
        <v>image43.jpeg</v>
      </c>
    </row>
    <row r="57" spans="1:10">
      <c r="A57" s="18">
        <v>56</v>
      </c>
      <c r="B57" s="19" t="s">
        <v>244</v>
      </c>
      <c r="C57" s="20" t="s">
        <v>245</v>
      </c>
      <c r="D57" s="12" t="str">
        <f>VLOOKUP(C57,[1]Sheet1!$A$4:$C$269,2,0)</f>
        <v>079096000915</v>
      </c>
      <c r="E57" s="15" t="str">
        <f>+VLOOKUP(C57,[1]Sheet1!$A$4:$C$269,3,0)</f>
        <v>lphuc@ktxhcm.edu.vn</v>
      </c>
      <c r="F57" s="2" t="s">
        <v>54</v>
      </c>
      <c r="J57" s="11" t="str">
        <f>VLOOKUP(D57,[2]Sheet3!D$1:J$65536,7,FALSE)</f>
        <v>image82.jpeg</v>
      </c>
    </row>
    <row r="58" spans="1:10">
      <c r="A58" s="18">
        <v>57</v>
      </c>
      <c r="B58" s="19" t="s">
        <v>246</v>
      </c>
      <c r="C58" s="20" t="s">
        <v>247</v>
      </c>
      <c r="D58" s="12" t="str">
        <f>VLOOKUP(C58,[1]Sheet1!$A$4:$C$269,2,0)</f>
        <v>052092005574</v>
      </c>
      <c r="E58" s="15" t="str">
        <f>+VLOOKUP(C58,[1]Sheet1!$A$4:$C$269,3,0)</f>
        <v>ntthach@ktxhcm.edu.vn</v>
      </c>
      <c r="F58" s="2" t="s">
        <v>54</v>
      </c>
      <c r="J58" s="11" t="str">
        <f>VLOOKUP(D58,[2]Sheet3!D$1:J$65536,7,FALSE)</f>
        <v>image151.jpeg</v>
      </c>
    </row>
    <row r="59" spans="1:10">
      <c r="A59" s="18">
        <v>58</v>
      </c>
      <c r="B59" s="19" t="s">
        <v>248</v>
      </c>
      <c r="C59" s="20" t="s">
        <v>249</v>
      </c>
      <c r="D59" s="12" t="str">
        <f>VLOOKUP(C59,[1]Sheet1!$A$4:$C$269,2,0)</f>
        <v>096302011766</v>
      </c>
      <c r="E59" s="15" t="str">
        <f>+VLOOKUP(C59,[1]Sheet1!$A$4:$C$269,3,0)</f>
        <v>mtdao@ktxhcm.edu.vn</v>
      </c>
      <c r="F59" s="2" t="s">
        <v>54</v>
      </c>
      <c r="J59" s="11" t="str">
        <f>VLOOKUP(D59,[2]Sheet3!D$1:J$65536,7,FALSE)</f>
        <v>image107.jpeg</v>
      </c>
    </row>
    <row r="60" spans="1:10">
      <c r="A60" s="18">
        <v>59</v>
      </c>
      <c r="B60" s="19" t="s">
        <v>250</v>
      </c>
      <c r="C60" s="20" t="s">
        <v>251</v>
      </c>
      <c r="D60" s="12" t="str">
        <f>VLOOKUP(C60,[1]Sheet1!$A$4:$C$269,2,0)</f>
        <v>042088013907</v>
      </c>
      <c r="E60" s="15" t="str">
        <f>+VLOOKUP(C60,[1]Sheet1!$A$4:$C$269,3,0)</f>
        <v>ntngoc@ktxhcm.edu.vn</v>
      </c>
      <c r="F60" s="2" t="s">
        <v>54</v>
      </c>
      <c r="J60" s="11" t="str">
        <f>VLOOKUP(D60,[2]Sheet3!D$1:J$65536,7,FALSE)</f>
        <v>image148.jpeg</v>
      </c>
    </row>
    <row r="61" spans="1:10">
      <c r="A61" s="18">
        <v>60</v>
      </c>
      <c r="B61" s="19" t="s">
        <v>252</v>
      </c>
      <c r="C61" s="20" t="s">
        <v>253</v>
      </c>
      <c r="D61" s="12" t="str">
        <f>VLOOKUP(C61,[1]Sheet1!$A$4:$C$269,2,0)</f>
        <v xml:space="preserve">040189018098 </v>
      </c>
      <c r="E61" s="15" t="str">
        <f>+VLOOKUP(C61,[1]Sheet1!$A$4:$C$269,3,0)</f>
        <v>vthien@ktxhcm.edu.vn</v>
      </c>
      <c r="F61" s="2" t="s">
        <v>54</v>
      </c>
      <c r="J61" s="11" t="str">
        <f>VLOOKUP(C61,[2]Sheet3!B$1:J$65536,9,FALSE)</f>
        <v>image287.jpeg</v>
      </c>
    </row>
    <row r="62" spans="1:10">
      <c r="A62" s="18">
        <v>61</v>
      </c>
      <c r="B62" s="19" t="s">
        <v>254</v>
      </c>
      <c r="C62" s="20" t="s">
        <v>255</v>
      </c>
      <c r="D62" s="12" t="str">
        <f>VLOOKUP(C62,[1]Sheet1!$A$4:$C$269,2,0)</f>
        <v>037076015646</v>
      </c>
      <c r="E62" s="15" t="str">
        <f>+VLOOKUP(C62,[1]Sheet1!$A$4:$C$269,3,0)</f>
        <v>dxthanh@ktxhcm.edu.vn</v>
      </c>
      <c r="F62" s="2" t="s">
        <v>54</v>
      </c>
      <c r="J62" s="11" t="str">
        <f>VLOOKUP(D62,[2]Sheet3!D$1:J$65536,7,FALSE)</f>
        <v>image45.jpeg</v>
      </c>
    </row>
    <row r="63" spans="1:10">
      <c r="A63" s="18">
        <v>62</v>
      </c>
      <c r="B63" s="19" t="s">
        <v>256</v>
      </c>
      <c r="C63" s="20" t="s">
        <v>257</v>
      </c>
      <c r="D63" s="12" t="str">
        <f>VLOOKUP(C63,[1]Sheet1!$A$4:$C$269,2,0)</f>
        <v>044092011913</v>
      </c>
      <c r="E63" s="15" t="str">
        <f>+VLOOKUP(C63,[1]Sheet1!$A$4:$C$269,3,0)</f>
        <v>hmtai@ktxhcm.edu.vn</v>
      </c>
      <c r="F63" s="2" t="s">
        <v>54</v>
      </c>
      <c r="J63" s="11" t="str">
        <f>VLOOKUP(D63,[2]Sheet3!D$1:J$65536,7,FALSE)</f>
        <v>image48.jpeg</v>
      </c>
    </row>
    <row r="64" spans="1:10">
      <c r="A64" s="18">
        <v>63</v>
      </c>
      <c r="B64" s="19" t="s">
        <v>258</v>
      </c>
      <c r="C64" s="20" t="s">
        <v>259</v>
      </c>
      <c r="D64" s="12" t="str">
        <f>VLOOKUP(C64,[1]Sheet1!$A$4:$C$269,2,0)</f>
        <v>075196009285</v>
      </c>
      <c r="E64" s="15" t="str">
        <f>+VLOOKUP(C64,[1]Sheet1!$A$4:$C$269,3,0)</f>
        <v>hpnthuy@ktxhcm.edu.vn</v>
      </c>
      <c r="F64" s="2" t="s">
        <v>54</v>
      </c>
      <c r="J64" s="11" t="str">
        <f>VLOOKUP(D64,[2]Sheet3!D$1:J$65536,7,FALSE)</f>
        <v>image67.jpeg</v>
      </c>
    </row>
    <row r="65" spans="1:10">
      <c r="A65" s="18">
        <v>64</v>
      </c>
      <c r="B65" s="19" t="s">
        <v>260</v>
      </c>
      <c r="C65" s="20" t="s">
        <v>261</v>
      </c>
      <c r="D65" s="12" t="str">
        <f>VLOOKUP(C65,[1]Sheet1!$A$4:$C$269,2,0)</f>
        <v>015068004225</v>
      </c>
      <c r="E65" s="15" t="str">
        <f>+VLOOKUP(C65,[1]Sheet1!$A$4:$C$269,3,0)</f>
        <v>tbbay@ktxhcm.edu.vn</v>
      </c>
      <c r="F65" s="2" t="s">
        <v>54</v>
      </c>
      <c r="J65" s="11" t="str">
        <f>VLOOKUP(D65,[2]Sheet3!D$1:J$65536,7,FALSE)</f>
        <v>image239.jpeg</v>
      </c>
    </row>
    <row r="66" spans="1:10">
      <c r="A66" s="18">
        <v>65</v>
      </c>
      <c r="B66" s="19" t="s">
        <v>262</v>
      </c>
      <c r="C66" s="20" t="s">
        <v>263</v>
      </c>
      <c r="D66" s="12" t="str">
        <f>VLOOKUP(C66,[1]Sheet1!$A$4:$C$269,2,0)</f>
        <v>038079031846</v>
      </c>
      <c r="E66" s="15" t="str">
        <f>+VLOOKUP(C66,[1]Sheet1!$A$4:$C$269,3,0)</f>
        <v>lnphuong@ktxhcm.edu.vn</v>
      </c>
      <c r="F66" s="2" t="s">
        <v>54</v>
      </c>
      <c r="J66" s="11" t="str">
        <f>VLOOKUP(D66,[2]Sheet3!D$1:J$65536,7,FALSE)</f>
        <v>image78.jpeg</v>
      </c>
    </row>
    <row r="67" spans="1:10">
      <c r="A67" s="18">
        <v>66</v>
      </c>
      <c r="B67" s="19" t="s">
        <v>264</v>
      </c>
      <c r="C67" s="17" t="s">
        <v>30</v>
      </c>
      <c r="D67" s="12" t="str">
        <f>VLOOKUP(C67,[1]Sheet1!$A$4:$C$269,2,0)</f>
        <v>040074018091</v>
      </c>
      <c r="E67" s="15" t="str">
        <f>+VLOOKUP(C67,[1]Sheet1!$A$4:$C$269,3,0)</f>
        <v>tdnam@ktxhcm.edu.vn</v>
      </c>
      <c r="F67" s="2" t="s">
        <v>55</v>
      </c>
      <c r="G67" s="11" t="s">
        <v>86</v>
      </c>
      <c r="H67" s="11" t="s">
        <v>162</v>
      </c>
      <c r="I67" s="11" t="s">
        <v>162</v>
      </c>
      <c r="J67" s="11" t="str">
        <f>VLOOKUP(D67,[2]Sheet3!D$1:J$65536,7,FALSE)</f>
        <v>image241.jpeg</v>
      </c>
    </row>
    <row r="68" spans="1:10">
      <c r="A68" s="18">
        <v>67</v>
      </c>
      <c r="B68" s="19" t="s">
        <v>265</v>
      </c>
      <c r="C68" s="17" t="s">
        <v>31</v>
      </c>
      <c r="D68" s="12" t="str">
        <f>VLOOKUP(C68,[1]Sheet1!$A$4:$C$269,2,0)</f>
        <v>046082030870</v>
      </c>
      <c r="E68" s="15" t="str">
        <f>+VLOOKUP(C68,[1]Sheet1!$A$4:$C$269,3,0)</f>
        <v>nctuong@vnuhcm.edu.vn</v>
      </c>
      <c r="F68" s="2" t="s">
        <v>55</v>
      </c>
      <c r="G68" s="11" t="s">
        <v>87</v>
      </c>
      <c r="H68" s="11" t="s">
        <v>162</v>
      </c>
      <c r="J68" s="11" t="str">
        <f>VLOOKUP(D68,[2]Sheet3!D$1:J$65536,7,FALSE)</f>
        <v>image117.jpeg</v>
      </c>
    </row>
    <row r="69" spans="1:10">
      <c r="A69" s="18">
        <v>68</v>
      </c>
      <c r="B69" s="19" t="s">
        <v>266</v>
      </c>
      <c r="C69" s="17" t="s">
        <v>267</v>
      </c>
      <c r="D69" s="12" t="str">
        <f>VLOOKUP(C69,[1]Sheet1!$A$4:$C$269,2,0)</f>
        <v>042083017414</v>
      </c>
      <c r="E69" s="15" t="str">
        <f>+VLOOKUP(C69,[1]Sheet1!$A$4:$C$269,3,0)</f>
        <v>nvdong@ktxhcm.edu.vn</v>
      </c>
      <c r="F69" s="2" t="s">
        <v>55</v>
      </c>
      <c r="J69" s="11" t="str">
        <f>VLOOKUP(D69,[2]Sheet3!D$1:J$65536,7,FALSE)</f>
        <v>image198.jpeg</v>
      </c>
    </row>
    <row r="70" spans="1:10">
      <c r="A70" s="18">
        <v>69</v>
      </c>
      <c r="B70" s="19" t="s">
        <v>268</v>
      </c>
      <c r="C70" s="17" t="s">
        <v>269</v>
      </c>
      <c r="D70" s="12" t="str">
        <f>VLOOKUP(C70,[1]Sheet1!$A$4:$C$269,2,0)</f>
        <v>033083000240</v>
      </c>
      <c r="E70" s="15" t="str">
        <f>+VLOOKUP(C70,[1]Sheet1!$A$4:$C$269,3,0)</f>
        <v>ntthien@ktxhcm.edu.vn</v>
      </c>
      <c r="F70" s="2" t="s">
        <v>55</v>
      </c>
      <c r="J70" s="11" t="str">
        <f>VLOOKUP(D70,[2]Sheet3!D$1:J$65536,7,FALSE)</f>
        <v>image181.jpeg</v>
      </c>
    </row>
    <row r="71" spans="1:10">
      <c r="A71" s="18">
        <v>70</v>
      </c>
      <c r="B71" s="19" t="s">
        <v>270</v>
      </c>
      <c r="C71" s="17" t="s">
        <v>271</v>
      </c>
      <c r="D71" s="12" t="str">
        <f>VLOOKUP(C71,[1]Sheet1!$A$4:$C$269,2,0)</f>
        <v>044086007710</v>
      </c>
      <c r="E71" s="15" t="str">
        <f>+VLOOKUP(C71,[1]Sheet1!$A$4:$C$269,3,0)</f>
        <v>dtdung@ktxhcm.edu.vn</v>
      </c>
      <c r="F71" s="2" t="s">
        <v>55</v>
      </c>
      <c r="J71" s="11" t="str">
        <f>VLOOKUP(D71,[2]Sheet3!D$1:J$65536,7,FALSE)</f>
        <v>image33.jpeg</v>
      </c>
    </row>
    <row r="72" spans="1:10">
      <c r="A72" s="18">
        <v>71</v>
      </c>
      <c r="B72" s="19" t="s">
        <v>272</v>
      </c>
      <c r="C72" s="17" t="s">
        <v>273</v>
      </c>
      <c r="D72" s="12" t="str">
        <f>VLOOKUP(C72,[1]Sheet1!$A$4:$C$269,2,0)</f>
        <v>042185005773</v>
      </c>
      <c r="E72" s="15" t="str">
        <f>+VLOOKUP(C72,[1]Sheet1!$A$4:$C$269,3,0)</f>
        <v>nthanh@ktxhcm.edu.vn</v>
      </c>
      <c r="F72" s="2" t="s">
        <v>55</v>
      </c>
      <c r="J72" s="11" t="str">
        <f>VLOOKUP(D72,[2]Sheet3!D$1:J$65536,7,FALSE)</f>
        <v>image158.jpeg</v>
      </c>
    </row>
    <row r="73" spans="1:10">
      <c r="A73" s="18">
        <v>72</v>
      </c>
      <c r="B73" s="19" t="s">
        <v>274</v>
      </c>
      <c r="C73" s="17" t="s">
        <v>275</v>
      </c>
      <c r="D73" s="12" t="str">
        <f>VLOOKUP(C73,[1]Sheet1!$A$4:$C$269,2,0)</f>
        <v>038077027467</v>
      </c>
      <c r="E73" s="15" t="str">
        <f>+VLOOKUP(C73,[1]Sheet1!$A$4:$C$269,3,0)</f>
        <v>nvluong@ktxhcm.edu.vn</v>
      </c>
      <c r="F73" s="2" t="s">
        <v>55</v>
      </c>
      <c r="J73" s="11" t="str">
        <f>VLOOKUP(D73,[2]Sheet3!D$1:J$65536,7,FALSE)</f>
        <v>image193.jpeg</v>
      </c>
    </row>
    <row r="74" spans="1:10">
      <c r="A74" s="18">
        <v>73</v>
      </c>
      <c r="B74" s="19" t="s">
        <v>276</v>
      </c>
      <c r="C74" s="17" t="s">
        <v>277</v>
      </c>
      <c r="D74" s="12" t="str">
        <f>VLOOKUP(C74,[1]Sheet1!$A$4:$C$269,2,0)</f>
        <v>038076011745</v>
      </c>
      <c r="E74" s="15" t="str">
        <f>+VLOOKUP(C74,[1]Sheet1!$A$4:$C$269,3,0)</f>
        <v>tvchung@ktxhcm.edu.vn</v>
      </c>
      <c r="F74" s="2" t="s">
        <v>55</v>
      </c>
      <c r="J74" s="11" t="str">
        <f>VLOOKUP(D74,[2]Sheet3!D$1:J$65536,7,FALSE)</f>
        <v>image275.jpeg</v>
      </c>
    </row>
    <row r="75" spans="1:10">
      <c r="A75" s="18">
        <v>74</v>
      </c>
      <c r="B75" s="19" t="s">
        <v>278</v>
      </c>
      <c r="C75" s="17" t="s">
        <v>279</v>
      </c>
      <c r="D75" s="12" t="str">
        <f>VLOOKUP(C75,[1]Sheet1!$A$4:$C$269,2,0)</f>
        <v>040072007395</v>
      </c>
      <c r="E75" s="15" t="str">
        <f>+VLOOKUP(C75,[1]Sheet1!$A$4:$C$269,3,0)</f>
        <v>nbhuong@ktxhcm.edu.vn</v>
      </c>
      <c r="F75" s="2" t="s">
        <v>55</v>
      </c>
      <c r="J75" s="11" t="str">
        <f>VLOOKUP(D75,[2]Sheet3!D$1:J$65536,7,FALSE)</f>
        <v>image113.jpeg</v>
      </c>
    </row>
    <row r="76" spans="1:10">
      <c r="A76" s="18">
        <v>75</v>
      </c>
      <c r="B76" s="19" t="s">
        <v>280</v>
      </c>
      <c r="C76" s="17" t="s">
        <v>281</v>
      </c>
      <c r="D76" s="12" t="str">
        <f>VLOOKUP(C76,[1]Sheet1!$A$4:$C$269,2,0)</f>
        <v>040191009115</v>
      </c>
      <c r="E76" s="15" t="str">
        <f>+VLOOKUP(C76,[1]Sheet1!$A$4:$C$269,3,0)</f>
        <v>ntphong@ktxhcm.edu.vn</v>
      </c>
      <c r="F76" s="2" t="s">
        <v>55</v>
      </c>
      <c r="J76" s="11" t="e">
        <f>VLOOKUP(C76,[2]Sheet3!B$1:J$65536,9,FALSE)</f>
        <v>#N/A</v>
      </c>
    </row>
    <row r="77" spans="1:10">
      <c r="A77" s="18">
        <v>76</v>
      </c>
      <c r="B77" s="19" t="s">
        <v>282</v>
      </c>
      <c r="C77" s="17" t="s">
        <v>283</v>
      </c>
      <c r="D77" s="12" t="str">
        <f>VLOOKUP(C77,[1]Sheet1!$A$4:$C$269,2,0)</f>
        <v>042082010309</v>
      </c>
      <c r="E77" s="15" t="str">
        <f>+VLOOKUP(C77,[1]Sheet1!$A$4:$C$269,3,0)</f>
        <v>ntban@ktxhcm.edu.vn</v>
      </c>
      <c r="F77" s="2" t="s">
        <v>55</v>
      </c>
      <c r="J77" s="11" t="str">
        <f>VLOOKUP(D77,[2]Sheet3!D$1:J$65536,7,FALSE)</f>
        <v>image178.jpeg</v>
      </c>
    </row>
    <row r="78" spans="1:10">
      <c r="A78" s="18">
        <v>77</v>
      </c>
      <c r="B78" s="19" t="s">
        <v>284</v>
      </c>
      <c r="C78" s="17" t="s">
        <v>285</v>
      </c>
      <c r="D78" s="12" t="str">
        <f>VLOOKUP(C78,[1]Sheet1!$A$4:$C$269,2,0)</f>
        <v>074093005297</v>
      </c>
      <c r="E78" s="15" t="str">
        <f>+VLOOKUP(C78,[1]Sheet1!$A$4:$C$269,3,0)</f>
        <v>tkhoang@ktxhcm.edu.vn</v>
      </c>
      <c r="F78" s="2" t="s">
        <v>55</v>
      </c>
      <c r="J78" s="11" t="str">
        <f>VLOOKUP(D78,[2]Sheet3!D$1:J$65536,7,FALSE)</f>
        <v>image248.jpeg</v>
      </c>
    </row>
    <row r="79" spans="1:10">
      <c r="A79" s="18">
        <v>78</v>
      </c>
      <c r="B79" s="19" t="s">
        <v>286</v>
      </c>
      <c r="C79" s="17" t="s">
        <v>287</v>
      </c>
      <c r="D79" s="12" t="str">
        <f>VLOOKUP(C79,[1]Sheet1!$A$4:$C$269,2,0)</f>
        <v>074094008227</v>
      </c>
      <c r="E79" s="15" t="str">
        <f>+VLOOKUP(C79,[1]Sheet1!$A$4:$C$269,3,0)</f>
        <v>lhvu@ktxhcm.edu.vn</v>
      </c>
      <c r="F79" s="2" t="s">
        <v>55</v>
      </c>
      <c r="J79" s="11" t="str">
        <f>VLOOKUP(D79,[2]Sheet3!D$1:J$65536,7,FALSE)</f>
        <v>image74.jpeg</v>
      </c>
    </row>
    <row r="80" spans="1:10">
      <c r="A80" s="18">
        <v>79</v>
      </c>
      <c r="B80" s="19" t="s">
        <v>288</v>
      </c>
      <c r="C80" s="20" t="s">
        <v>32</v>
      </c>
      <c r="D80" s="12" t="str">
        <f>VLOOKUP(C80,[1]Sheet1!$A$4:$C$269,2,0)</f>
        <v>068180007380</v>
      </c>
      <c r="E80" s="15" t="str">
        <f>+VLOOKUP(C80,[1]Sheet1!$A$4:$C$269,3,0)</f>
        <v>nttrong@ktxhcm.edu.vn</v>
      </c>
      <c r="F80" s="2" t="s">
        <v>56</v>
      </c>
      <c r="G80" s="11" t="s">
        <v>88</v>
      </c>
      <c r="H80" s="11" t="s">
        <v>162</v>
      </c>
      <c r="I80" s="11" t="s">
        <v>162</v>
      </c>
      <c r="J80" s="11" t="str">
        <f>VLOOKUP(D80,[2]Sheet3!D$1:J$65536,7,FALSE)</f>
        <v>image172.jpeg</v>
      </c>
    </row>
    <row r="81" spans="1:10">
      <c r="A81" s="18">
        <v>80</v>
      </c>
      <c r="B81" s="19" t="s">
        <v>289</v>
      </c>
      <c r="C81" s="20" t="s">
        <v>33</v>
      </c>
      <c r="D81" s="12" t="str">
        <f>VLOOKUP(C81,[1]Sheet1!$A$4:$C$269,2,0)</f>
        <v>040182019239</v>
      </c>
      <c r="E81" s="15" t="str">
        <f>+VLOOKUP(C81,[1]Sheet1!$A$4:$C$269,3,0)</f>
        <v>ttxuan@ktxhcm.edu.vn</v>
      </c>
      <c r="F81" s="2" t="s">
        <v>56</v>
      </c>
      <c r="G81" s="11" t="s">
        <v>89</v>
      </c>
      <c r="H81" s="11" t="s">
        <v>162</v>
      </c>
      <c r="J81" s="11" t="str">
        <f>VLOOKUP(D81,[2]Sheet3!D$1:J$65536,7,FALSE)</f>
        <v>image262.jpeg</v>
      </c>
    </row>
    <row r="82" spans="1:10">
      <c r="A82" s="18">
        <v>81</v>
      </c>
      <c r="B82" s="19" t="s">
        <v>290</v>
      </c>
      <c r="C82" s="20" t="s">
        <v>291</v>
      </c>
      <c r="D82" s="12" t="str">
        <f>VLOOKUP(C82,[1]Sheet1!$A$4:$C$269,2,0)</f>
        <v>015093009761</v>
      </c>
      <c r="E82" s="15" t="str">
        <f>+VLOOKUP(C82,[1]Sheet1!$A$4:$C$269,3,0)</f>
        <v>nvan@ktxhcm.edu.vn</v>
      </c>
      <c r="F82" s="2" t="s">
        <v>56</v>
      </c>
      <c r="J82" s="11" t="str">
        <f>VLOOKUP(D82,[2]Sheet3!D$1:J$65536,7,FALSE)</f>
        <v>image184.jpeg</v>
      </c>
    </row>
    <row r="83" spans="1:10">
      <c r="A83" s="18">
        <v>82</v>
      </c>
      <c r="B83" s="19" t="s">
        <v>292</v>
      </c>
      <c r="C83" s="20" t="s">
        <v>293</v>
      </c>
      <c r="D83" s="12" t="str">
        <f>VLOOKUP(C83,[1]Sheet1!$A$4:$C$269,2,0)</f>
        <v>040099019824</v>
      </c>
      <c r="E83" s="15" t="str">
        <f>+VLOOKUP(C83,[1]Sheet1!$A$4:$C$269,3,0)</f>
        <v>dhduc@ktxhcm.edu.vn</v>
      </c>
      <c r="F83" s="2" t="s">
        <v>56</v>
      </c>
      <c r="J83" s="11" t="str">
        <f>VLOOKUP(D83,[2]Sheet3!D$1:J$65536,7,FALSE)</f>
        <v>image25.jpeg</v>
      </c>
    </row>
    <row r="84" spans="1:10">
      <c r="A84" s="18">
        <v>83</v>
      </c>
      <c r="B84" s="19" t="s">
        <v>294</v>
      </c>
      <c r="C84" s="20" t="s">
        <v>295</v>
      </c>
      <c r="D84" s="12" t="str">
        <f>VLOOKUP(C84,[1]Sheet1!$A$4:$C$269,2,0)</f>
        <v>034083022201</v>
      </c>
      <c r="E84" s="15" t="str">
        <f>+VLOOKUP(C84,[1]Sheet1!$A$4:$C$269,3,0)</f>
        <v>nvkha@ktxhcm.edu.vn</v>
      </c>
      <c r="F84" s="2" t="s">
        <v>56</v>
      </c>
      <c r="J84" s="11" t="str">
        <f>VLOOKUP(D84,[2]Sheet3!D$1:J$65536,7,FALSE)</f>
        <v>image189.jpeg</v>
      </c>
    </row>
    <row r="85" spans="1:10">
      <c r="A85" s="18">
        <v>84</v>
      </c>
      <c r="B85" s="19" t="s">
        <v>296</v>
      </c>
      <c r="C85" s="20" t="s">
        <v>297</v>
      </c>
      <c r="D85" s="12" t="str">
        <f>VLOOKUP(C85,[1]Sheet1!$A$4:$C$269,2,0)</f>
        <v>040179014948</v>
      </c>
      <c r="E85" s="15" t="str">
        <f>+VLOOKUP(C85,[1]Sheet1!$A$4:$C$269,3,0)</f>
        <v>ttxuyen@ktxhcm.edu.vn</v>
      </c>
      <c r="F85" s="2" t="s">
        <v>56</v>
      </c>
      <c r="J85" s="11" t="str">
        <f>VLOOKUP(D85,[2]Sheet3!D$1:J$65536,7,FALSE)</f>
        <v>image234.jpeg</v>
      </c>
    </row>
    <row r="86" spans="1:10">
      <c r="A86" s="18">
        <v>85</v>
      </c>
      <c r="B86" s="19" t="s">
        <v>298</v>
      </c>
      <c r="C86" s="20" t="s">
        <v>299</v>
      </c>
      <c r="D86" s="12" t="str">
        <f>VLOOKUP(C86,[1]Sheet1!$A$4:$C$269,2,0)</f>
        <v>001183056529</v>
      </c>
      <c r="E86" s="15" t="str">
        <f>+VLOOKUP(C86,[1]Sheet1!$A$4:$C$269,3,0)</f>
        <v>htsang@ktxhcm.edu.vn</v>
      </c>
      <c r="F86" s="2" t="s">
        <v>56</v>
      </c>
      <c r="J86" s="11" t="str">
        <f>VLOOKUP(D86,[2]Sheet3!D$1:J$65536,7,FALSE)</f>
        <v>image52.jpeg</v>
      </c>
    </row>
    <row r="87" spans="1:10" s="28" customFormat="1">
      <c r="A87" s="25">
        <v>86</v>
      </c>
      <c r="B87" s="26" t="s">
        <v>300</v>
      </c>
      <c r="C87" s="27" t="s">
        <v>34</v>
      </c>
      <c r="D87" s="12" t="str">
        <f>VLOOKUP(C87,[1]Sheet1!$A$4:$C$269,2,0)</f>
        <v>074190001352</v>
      </c>
      <c r="E87" s="15" t="str">
        <f>+VLOOKUP(C87,[1]Sheet1!$A$4:$C$269,3,0)</f>
        <v>dththu@ktxhcm.edu.vn</v>
      </c>
      <c r="F87" s="3" t="s">
        <v>57</v>
      </c>
      <c r="G87" s="11" t="s">
        <v>90</v>
      </c>
      <c r="H87" s="28" t="s">
        <v>162</v>
      </c>
      <c r="J87" s="11" t="str">
        <f>VLOOKUP(D87,[2]Sheet3!D$1:J$65536,7,FALSE)</f>
        <v>image37.jpeg</v>
      </c>
    </row>
    <row r="88" spans="1:10">
      <c r="A88" s="18">
        <v>87</v>
      </c>
      <c r="B88" s="19" t="s">
        <v>301</v>
      </c>
      <c r="C88" s="20" t="s">
        <v>35</v>
      </c>
      <c r="D88" s="12" t="str">
        <f>VLOOKUP(C88,[1]Sheet1!$A$4:$C$269,2,0)</f>
        <v>038183049921</v>
      </c>
      <c r="E88" s="15" t="str">
        <f>+VLOOKUP(C88,[1]Sheet1!$A$4:$C$269,3,0)</f>
        <v>lttan@ktxhcm.edu.vn</v>
      </c>
      <c r="F88" s="3" t="s">
        <v>57</v>
      </c>
      <c r="G88" s="11" t="s">
        <v>91</v>
      </c>
      <c r="H88" s="11" t="s">
        <v>162</v>
      </c>
      <c r="I88" s="11" t="s">
        <v>162</v>
      </c>
      <c r="J88" s="11" t="str">
        <f>VLOOKUP(D88,[2]Sheet3!D$1:J$65536,7,FALSE)</f>
        <v>image88.jpeg</v>
      </c>
    </row>
    <row r="89" spans="1:10">
      <c r="A89" s="18">
        <v>88</v>
      </c>
      <c r="B89" s="19" t="s">
        <v>302</v>
      </c>
      <c r="C89" s="20" t="s">
        <v>36</v>
      </c>
      <c r="D89" s="12" t="str">
        <f>VLOOKUP(C89,[1]Sheet1!$A$4:$C$269,2,0)</f>
        <v>083090012439</v>
      </c>
      <c r="E89" s="15" t="str">
        <f>+VLOOKUP(C89,[1]Sheet1!$A$4:$C$269,3,0)</f>
        <v>nqluat@ktxhcm.edu.vn</v>
      </c>
      <c r="F89" s="3" t="s">
        <v>57</v>
      </c>
      <c r="G89" s="11" t="s">
        <v>92</v>
      </c>
      <c r="H89" s="11" t="s">
        <v>162</v>
      </c>
      <c r="J89" s="11" t="str">
        <f>VLOOKUP(D89,[2]Sheet3!D$1:J$65536,7,FALSE)</f>
        <v>image143.jpeg</v>
      </c>
    </row>
    <row r="90" spans="1:10">
      <c r="A90" s="18">
        <v>89</v>
      </c>
      <c r="B90" s="19" t="s">
        <v>303</v>
      </c>
      <c r="C90" s="20" t="s">
        <v>304</v>
      </c>
      <c r="D90" s="12" t="str">
        <f>VLOOKUP(C90,[1]Sheet1!$A$4:$C$269,2,0)</f>
        <v>038195006599</v>
      </c>
      <c r="E90" s="15" t="str">
        <f>+VLOOKUP(C90,[1]Sheet1!$A$4:$C$269,3,0)</f>
        <v>tthoai@ktxhcm.edu.vn</v>
      </c>
      <c r="F90" s="3" t="s">
        <v>57</v>
      </c>
      <c r="J90" s="11" t="str">
        <f>VLOOKUP(C90,[2]Sheet3!B$1:J$65536,9,FALSE)</f>
        <v>image280.jpeg</v>
      </c>
    </row>
    <row r="91" spans="1:10">
      <c r="A91" s="18">
        <v>90</v>
      </c>
      <c r="B91" s="19" t="s">
        <v>305</v>
      </c>
      <c r="C91" s="20" t="s">
        <v>306</v>
      </c>
      <c r="D91" s="12" t="str">
        <f>VLOOKUP(C91,[1]Sheet1!$A$4:$C$269,2,0)</f>
        <v>066087003159</v>
      </c>
      <c r="E91" s="15" t="str">
        <f>+VLOOKUP(C91,[1]Sheet1!$A$4:$C$269,3,0)</f>
        <v>hvtinh@ktxhcm.edu.vn</v>
      </c>
      <c r="F91" s="3" t="s">
        <v>57</v>
      </c>
      <c r="J91" s="11" t="str">
        <f>VLOOKUP(D91,[2]Sheet3!D$1:J$65536,7,FALSE)</f>
        <v>image56.jpeg</v>
      </c>
    </row>
    <row r="92" spans="1:10">
      <c r="A92" s="18">
        <v>91</v>
      </c>
      <c r="B92" s="19" t="s">
        <v>307</v>
      </c>
      <c r="C92" s="20" t="s">
        <v>308</v>
      </c>
      <c r="D92" s="12" t="str">
        <f>VLOOKUP(C92,[1]Sheet1!$A$4:$C$269,2,0)</f>
        <v>091182020891</v>
      </c>
      <c r="E92" s="15" t="str">
        <f>+VLOOKUP(C92,[1]Sheet1!$A$4:$C$269,3,0)</f>
        <v>nttho@ktxhcm.edu.vn</v>
      </c>
      <c r="F92" s="3" t="s">
        <v>57</v>
      </c>
      <c r="J92" s="11" t="str">
        <f>VLOOKUP(D92,[2]Sheet3!D$1:J$65536,7,FALSE)</f>
        <v>image170.jpeg</v>
      </c>
    </row>
    <row r="93" spans="1:10">
      <c r="A93" s="18">
        <v>92</v>
      </c>
      <c r="B93" s="19" t="s">
        <v>309</v>
      </c>
      <c r="C93" s="20" t="s">
        <v>310</v>
      </c>
      <c r="D93" s="12" t="str">
        <f>VLOOKUP(C93,[1]Sheet1!$A$4:$C$269,2,0)</f>
        <v>038066026871</v>
      </c>
      <c r="E93" s="15" t="str">
        <f>+VLOOKUP(C93,[1]Sheet1!$A$4:$C$269,3,0)</f>
        <v>dvhang@ktxhcm.edu.vn</v>
      </c>
      <c r="F93" s="3" t="s">
        <v>57</v>
      </c>
      <c r="J93" s="11" t="str">
        <f>VLOOKUP(D93,[2]Sheet3!D$1:J$65536,7,FALSE)</f>
        <v>image40.jpeg</v>
      </c>
    </row>
    <row r="94" spans="1:10">
      <c r="A94" s="18">
        <v>93</v>
      </c>
      <c r="B94" s="19" t="s">
        <v>311</v>
      </c>
      <c r="C94" s="20" t="s">
        <v>312</v>
      </c>
      <c r="D94" s="12" t="str">
        <f>VLOOKUP(C94,[1]Sheet1!$A$4:$C$269,2,0)</f>
        <v>046199001297</v>
      </c>
      <c r="E94" s="15" t="str">
        <f>+VLOOKUP(C94,[1]Sheet1!$A$4:$C$269,3,0)</f>
        <v>tttxuan@ktxhcm.edu.vn</v>
      </c>
      <c r="F94" s="3" t="s">
        <v>57</v>
      </c>
      <c r="J94" s="11" t="str">
        <f>VLOOKUP(D94,[2]Sheet3!D$1:J$65536,7,FALSE)</f>
        <v>image259.jpeg</v>
      </c>
    </row>
    <row r="95" spans="1:10" s="28" customFormat="1" ht="18.75" customHeight="1">
      <c r="A95" s="25">
        <v>94</v>
      </c>
      <c r="B95" s="26" t="s">
        <v>313</v>
      </c>
      <c r="C95" s="29" t="s">
        <v>37</v>
      </c>
      <c r="D95" s="12" t="str">
        <f>VLOOKUP(C95,[1]Sheet1!$A$4:$C$269,2,0)</f>
        <v>038085044588</v>
      </c>
      <c r="E95" s="15" t="str">
        <f>+VLOOKUP(C95,[1]Sheet1!$A$4:$C$269,3,0)</f>
        <v>hvcuong@ktxhcm.edu.vn</v>
      </c>
      <c r="F95" s="3" t="s">
        <v>58</v>
      </c>
      <c r="G95" s="11" t="s">
        <v>93</v>
      </c>
      <c r="H95" s="28" t="s">
        <v>162</v>
      </c>
      <c r="I95" s="28" t="s">
        <v>162</v>
      </c>
      <c r="J95" s="11" t="str">
        <f>VLOOKUP(D95,[2]Sheet3!D$1:J$65536,7,FALSE)</f>
        <v>image53.jpeg</v>
      </c>
    </row>
    <row r="96" spans="1:10">
      <c r="A96" s="5">
        <v>95</v>
      </c>
      <c r="B96" s="16" t="s">
        <v>314</v>
      </c>
      <c r="C96" s="20" t="s">
        <v>38</v>
      </c>
      <c r="D96" s="12" t="str">
        <f>VLOOKUP(C96,[1]Sheet1!$A$4:$C$269,2,0)</f>
        <v>038181035670</v>
      </c>
      <c r="E96" s="15" t="str">
        <f>+VLOOKUP(C96,[1]Sheet1!$A$4:$C$269,3,0)</f>
        <v>htnguyet@ktxhcm.edu.vn</v>
      </c>
      <c r="F96" s="3" t="s">
        <v>58</v>
      </c>
      <c r="G96" s="11" t="s">
        <v>94</v>
      </c>
      <c r="H96" s="11" t="s">
        <v>162</v>
      </c>
      <c r="J96" s="11" t="str">
        <f>VLOOKUP(D96,[2]Sheet3!D$1:J$65536,7,FALSE)</f>
        <v>image51.jpeg</v>
      </c>
    </row>
    <row r="97" spans="1:10">
      <c r="A97" s="5">
        <v>96</v>
      </c>
      <c r="B97" s="16" t="s">
        <v>315</v>
      </c>
      <c r="C97" s="20" t="s">
        <v>316</v>
      </c>
      <c r="D97" s="12" t="str">
        <f>VLOOKUP(C97,[1]Sheet1!$A$4:$C$269,2,0)</f>
        <v>058066003991</v>
      </c>
      <c r="E97" s="15" t="str">
        <f>+VLOOKUP(C97,[1]Sheet1!$A$4:$C$269,3,0)</f>
        <v>npvinh@ktxhcm.edu.vn</v>
      </c>
      <c r="F97" s="3" t="s">
        <v>58</v>
      </c>
      <c r="J97" s="11" t="str">
        <f>VLOOKUP(D97,[2]Sheet3!D$1:J$65536,7,FALSE)</f>
        <v>image142.jpeg</v>
      </c>
    </row>
    <row r="98" spans="1:10">
      <c r="A98" s="5">
        <v>97</v>
      </c>
      <c r="B98" s="16" t="s">
        <v>317</v>
      </c>
      <c r="C98" s="20" t="s">
        <v>318</v>
      </c>
      <c r="D98" s="12" t="str">
        <f>VLOOKUP(C98,[1]Sheet1!$A$4:$C$269,2,0)</f>
        <v>051073018091</v>
      </c>
      <c r="E98" s="15" t="str">
        <f>+VLOOKUP(C98,[1]Sheet1!$A$4:$C$269,3,0)</f>
        <v>ncnhan@ktxhcm.edu.vn</v>
      </c>
      <c r="F98" s="3" t="s">
        <v>58</v>
      </c>
      <c r="J98" s="11" t="e">
        <f>VLOOKUP(C98,[2]Sheet3!B$1:J$65536,9,FALSE)</f>
        <v>#N/A</v>
      </c>
    </row>
    <row r="99" spans="1:10">
      <c r="A99" s="5">
        <v>98</v>
      </c>
      <c r="B99" s="16" t="s">
        <v>319</v>
      </c>
      <c r="C99" s="20" t="s">
        <v>320</v>
      </c>
      <c r="D99" s="12" t="str">
        <f>VLOOKUP(C99,[1]Sheet1!$A$4:$C$269,2,0)</f>
        <v>038069025377</v>
      </c>
      <c r="E99" s="15" t="str">
        <f>+VLOOKUP(C99,[1]Sheet1!$A$4:$C$269,3,0)</f>
        <v>tqbo@ktxhcm.edu.vn</v>
      </c>
      <c r="F99" s="3" t="s">
        <v>58</v>
      </c>
      <c r="J99" s="11" t="str">
        <f>VLOOKUP(D99,[2]Sheet3!D$1:J$65536,7,FALSE)</f>
        <v>image274.jpeg</v>
      </c>
    </row>
    <row r="100" spans="1:10">
      <c r="A100" s="19">
        <v>99</v>
      </c>
      <c r="B100" s="19" t="s">
        <v>321</v>
      </c>
      <c r="C100" s="20" t="s">
        <v>39</v>
      </c>
      <c r="D100" s="12" t="str">
        <f>VLOOKUP(C100,[1]Sheet1!$A$4:$C$269,2,0)</f>
        <v>046087019407</v>
      </c>
      <c r="E100" s="15" t="str">
        <f>+VLOOKUP(C100,[1]Sheet1!$A$4:$C$269,3,0)</f>
        <v>nctrinh@ktxhcm.edu.vn</v>
      </c>
      <c r="F100" s="3" t="s">
        <v>59</v>
      </c>
      <c r="G100" s="11" t="s">
        <v>95</v>
      </c>
      <c r="H100" s="11" t="s">
        <v>162</v>
      </c>
      <c r="I100" s="11" t="s">
        <v>162</v>
      </c>
      <c r="J100" s="11" t="str">
        <f>VLOOKUP(D100,[2]Sheet3!D$1:J$65536,7,FALSE)</f>
        <v>image116.jpeg</v>
      </c>
    </row>
    <row r="101" spans="1:10">
      <c r="A101" s="19">
        <v>100</v>
      </c>
      <c r="B101" s="19" t="s">
        <v>322</v>
      </c>
      <c r="C101" s="20" t="s">
        <v>40</v>
      </c>
      <c r="D101" s="12" t="str">
        <f>VLOOKUP(C101,[1]Sheet1!$A$4:$C$269,2,0)</f>
        <v>048183007442</v>
      </c>
      <c r="E101" s="15" t="str">
        <f>+VLOOKUP(C101,[1]Sheet1!$A$4:$C$269,3,0)</f>
        <v>dtlanh@ktxhcm.edu.vn</v>
      </c>
      <c r="F101" s="3" t="s">
        <v>59</v>
      </c>
      <c r="G101" s="11" t="s">
        <v>96</v>
      </c>
      <c r="H101" s="11" t="s">
        <v>162</v>
      </c>
      <c r="J101" s="11" t="str">
        <f>VLOOKUP(D101,[2]Sheet3!D$1:J$65536,7,FALSE)</f>
        <v>image26.jpeg</v>
      </c>
    </row>
    <row r="102" spans="1:10">
      <c r="A102" s="19">
        <v>101</v>
      </c>
      <c r="B102" s="19" t="s">
        <v>323</v>
      </c>
      <c r="C102" s="20" t="s">
        <v>324</v>
      </c>
      <c r="D102" s="12" t="str">
        <f>VLOOKUP(C102,[1]Sheet1!$A$4:$C$269,2,0)</f>
        <v>006187001129</v>
      </c>
      <c r="E102" s="15" t="str">
        <f>+VLOOKUP(C102,[1]Sheet1!$A$4:$C$269,3,0)</f>
        <v>nthuyen@ktxhcm.edu.vn</v>
      </c>
      <c r="F102" s="3" t="s">
        <v>59</v>
      </c>
      <c r="J102" s="11" t="str">
        <f>VLOOKUP(D102,[2]Sheet3!D$1:J$65536,7,FALSE)</f>
        <v>image161.jpeg</v>
      </c>
    </row>
    <row r="103" spans="1:10">
      <c r="A103" s="19">
        <v>102</v>
      </c>
      <c r="B103" s="19" t="s">
        <v>325</v>
      </c>
      <c r="C103" s="20" t="s">
        <v>326</v>
      </c>
      <c r="D103" s="12" t="str">
        <f>VLOOKUP(C103,[1]Sheet1!$A$4:$C$269,2,0)</f>
        <v>038189036324</v>
      </c>
      <c r="E103" s="15" t="str">
        <f>+VLOOKUP(C103,[1]Sheet1!$A$4:$C$269,3,0)</f>
        <v>nthuong@ktxhcm.edu.vn</v>
      </c>
      <c r="F103" s="3" t="s">
        <v>59</v>
      </c>
      <c r="J103" s="11" t="str">
        <f>VLOOKUP(D103,[2]Sheet3!D$1:J$65536,7,FALSE)</f>
        <v>image160.jpeg</v>
      </c>
    </row>
    <row r="104" spans="1:10">
      <c r="A104" s="19">
        <v>103</v>
      </c>
      <c r="B104" s="19" t="s">
        <v>327</v>
      </c>
      <c r="C104" s="20" t="s">
        <v>328</v>
      </c>
      <c r="D104" s="12" t="str">
        <f>VLOOKUP(C104,[1]Sheet1!$A$4:$C$269,2,0)</f>
        <v>038187030707</v>
      </c>
      <c r="E104" s="15" t="str">
        <f>+VLOOKUP(C104,[1]Sheet1!$A$4:$C$269,3,0)</f>
        <v>ltthuy@ktxhcm.edu.vn</v>
      </c>
      <c r="F104" s="3" t="s">
        <v>59</v>
      </c>
      <c r="J104" s="11" t="str">
        <f>VLOOKUP(D104,[2]Sheet3!D$1:J$65536,7,FALSE)</f>
        <v>image90.jpeg</v>
      </c>
    </row>
    <row r="105" spans="1:10">
      <c r="A105" s="18">
        <v>104</v>
      </c>
      <c r="B105" s="19" t="s">
        <v>329</v>
      </c>
      <c r="C105" s="20" t="s">
        <v>41</v>
      </c>
      <c r="D105" s="12" t="str">
        <f>VLOOKUP(C105,[1]Sheet1!$A$4:$C$269,2,0)</f>
        <v>052081016886</v>
      </c>
      <c r="E105" s="15" t="str">
        <f>+VLOOKUP(C105,[1]Sheet1!$A$4:$C$269,3,0)</f>
        <v>lvphuc@ktxhcm.edu.vn</v>
      </c>
      <c r="F105" s="3" t="s">
        <v>60</v>
      </c>
      <c r="G105" s="11" t="s">
        <v>97</v>
      </c>
      <c r="H105" s="11" t="s">
        <v>162</v>
      </c>
      <c r="I105" s="11" t="s">
        <v>162</v>
      </c>
      <c r="J105" s="11" t="str">
        <f>VLOOKUP(D105,[2]Sheet3!D$1:J$65536,7,FALSE)</f>
        <v>image99.jpeg</v>
      </c>
    </row>
    <row r="106" spans="1:10">
      <c r="A106" s="18">
        <v>105</v>
      </c>
      <c r="B106" s="19" t="s">
        <v>330</v>
      </c>
      <c r="C106" s="20" t="s">
        <v>42</v>
      </c>
      <c r="D106" s="12" t="str">
        <f>VLOOKUP(C106,[1]Sheet1!$A$4:$C$269,2,0)</f>
        <v>049093015831</v>
      </c>
      <c r="E106" s="15" t="str">
        <f>+VLOOKUP(C106,[1]Sheet1!$A$4:$C$269,3,0)</f>
        <v>tvnhuc@ktxhcm.edu.vn</v>
      </c>
      <c r="F106" s="3" t="s">
        <v>60</v>
      </c>
      <c r="G106" s="11" t="s">
        <v>98</v>
      </c>
      <c r="H106" s="11" t="s">
        <v>162</v>
      </c>
      <c r="J106" s="11" t="str">
        <f>VLOOKUP(D106,[2]Sheet3!D$1:J$65536,7,FALSE)</f>
        <v>image269.jpeg</v>
      </c>
    </row>
    <row r="107" spans="1:10">
      <c r="A107" s="18">
        <v>106</v>
      </c>
      <c r="B107" s="19" t="s">
        <v>331</v>
      </c>
      <c r="C107" s="20" t="s">
        <v>332</v>
      </c>
      <c r="D107" s="12" t="str">
        <f>VLOOKUP(C107,[1]Sheet1!$A$4:$C$269,2,0)</f>
        <v>038191021461</v>
      </c>
      <c r="E107" s="15" t="str">
        <f>+VLOOKUP(C107,[1]Sheet1!$A$4:$C$269,3,0)</f>
        <v>ntvan@ktxhcm.edu.vn</v>
      </c>
      <c r="F107" s="3" t="s">
        <v>60</v>
      </c>
      <c r="J107" s="11" t="str">
        <f>VLOOKUP(D107,[2]Sheet3!D$1:J$65536,7,FALSE)</f>
        <v>image174.jpeg</v>
      </c>
    </row>
    <row r="108" spans="1:10">
      <c r="A108" s="18">
        <v>107</v>
      </c>
      <c r="B108" s="19" t="s">
        <v>333</v>
      </c>
      <c r="C108" s="20" t="s">
        <v>334</v>
      </c>
      <c r="D108" s="12" t="str">
        <f>VLOOKUP(C108,[1]Sheet1!$A$4:$C$269,2,0)</f>
        <v>038187034586</v>
      </c>
      <c r="E108" s="15" t="str">
        <f>+VLOOKUP(C108,[1]Sheet1!$A$4:$C$269,3,0)</f>
        <v>tpkdung@ktxhcm.edu.vn</v>
      </c>
      <c r="F108" s="3" t="s">
        <v>60</v>
      </c>
      <c r="J108" s="11" t="str">
        <f>VLOOKUP(D108,[2]Sheet3!D$1:J$65536,7,FALSE)</f>
        <v>image252.jpeg</v>
      </c>
    </row>
    <row r="109" spans="1:10">
      <c r="A109" s="18">
        <v>108</v>
      </c>
      <c r="B109" s="19" t="s">
        <v>335</v>
      </c>
      <c r="C109" s="20" t="s">
        <v>336</v>
      </c>
      <c r="D109" s="12" t="str">
        <f>VLOOKUP(C109,[1]Sheet1!$A$4:$C$269,2,0)</f>
        <v>025085011974</v>
      </c>
      <c r="E109" s="15" t="str">
        <f>+VLOOKUP(C109,[1]Sheet1!$A$4:$C$269,3,0)</f>
        <v>nvminh@ktxhcm.edu.vn</v>
      </c>
      <c r="F109" s="3" t="s">
        <v>60</v>
      </c>
      <c r="J109" s="11" t="str">
        <f>VLOOKUP(D109,[2]Sheet3!D$1:J$65536,7,FALSE)</f>
        <v>image194.jpeg</v>
      </c>
    </row>
    <row r="110" spans="1:10">
      <c r="A110" s="18">
        <v>109</v>
      </c>
      <c r="B110" s="19" t="s">
        <v>337</v>
      </c>
      <c r="C110" s="20" t="s">
        <v>43</v>
      </c>
      <c r="D110" s="12" t="str">
        <f>VLOOKUP(C110,[1]Sheet1!$A$4:$C$269,2,0)</f>
        <v>086175000384</v>
      </c>
      <c r="E110" s="15" t="str">
        <f>+VLOOKUP(C110,[1]Sheet1!$A$4:$C$269,3,0)</f>
        <v>ntttrang@ktxhcm.edu.vn</v>
      </c>
      <c r="F110" s="3" t="s">
        <v>61</v>
      </c>
      <c r="G110" s="11" t="s">
        <v>99</v>
      </c>
      <c r="H110" s="11" t="s">
        <v>162</v>
      </c>
      <c r="I110" s="11" t="s">
        <v>162</v>
      </c>
      <c r="J110" s="11" t="str">
        <f>VLOOKUP(D110,[2]Sheet3!D$1:J$65536,7,FALSE)</f>
        <v>image171.jpeg</v>
      </c>
    </row>
    <row r="111" spans="1:10">
      <c r="A111" s="18">
        <v>110</v>
      </c>
      <c r="B111" s="19" t="s">
        <v>338</v>
      </c>
      <c r="C111" s="20" t="s">
        <v>44</v>
      </c>
      <c r="D111" s="12" t="str">
        <f>VLOOKUP(C111,[1]Sheet1!$A$4:$C$269,2,0)</f>
        <v>046082030636</v>
      </c>
      <c r="E111" s="15" t="str">
        <f>+VLOOKUP(C111,[1]Sheet1!$A$4:$C$269,3,0)</f>
        <v>tvchuyen@ktxhcm.edu.vn</v>
      </c>
      <c r="F111" s="3" t="s">
        <v>61</v>
      </c>
      <c r="G111" s="11" t="s">
        <v>6</v>
      </c>
      <c r="H111" s="11" t="s">
        <v>162</v>
      </c>
      <c r="J111" s="11" t="str">
        <f>VLOOKUP(D111,[2]Sheet3!D$1:J$65536,7,FALSE)</f>
        <v>image266.jpeg</v>
      </c>
    </row>
    <row r="112" spans="1:10">
      <c r="A112" s="18">
        <v>111</v>
      </c>
      <c r="B112" s="19" t="s">
        <v>339</v>
      </c>
      <c r="C112" s="20" t="s">
        <v>340</v>
      </c>
      <c r="D112" s="12" t="str">
        <f>VLOOKUP(C112,[1]Sheet1!$A$4:$C$269,2,0)</f>
        <v>086179003165</v>
      </c>
      <c r="E112" s="15" t="str">
        <f>+VLOOKUP(C112,[1]Sheet1!$A$4:$C$269,3,0)</f>
        <v>ltndung@ktxhcm.edu.vn</v>
      </c>
      <c r="F112" s="3" t="s">
        <v>61</v>
      </c>
      <c r="J112" s="11" t="str">
        <f>VLOOKUP(D112,[2]Sheet3!D$1:J$65536,7,FALSE)</f>
        <v>image86.jpeg</v>
      </c>
    </row>
    <row r="113" spans="1:10">
      <c r="A113" s="18">
        <v>112</v>
      </c>
      <c r="B113" s="19" t="s">
        <v>341</v>
      </c>
      <c r="C113" s="20" t="s">
        <v>342</v>
      </c>
      <c r="D113" s="12" t="str">
        <f>VLOOKUP(C113,[1]Sheet1!$A$4:$C$269,2,0)</f>
        <v>038088008045</v>
      </c>
      <c r="E113" s="15" t="str">
        <f>+VLOOKUP(C113,[1]Sheet1!$A$4:$C$269,3,0)</f>
        <v>lvnam@ktxhcm.edu.vn</v>
      </c>
      <c r="F113" s="3" t="s">
        <v>61</v>
      </c>
      <c r="J113" s="11" t="str">
        <f>VLOOKUP(D113,[2]Sheet3!D$1:J$65536,7,FALSE)</f>
        <v>image98.jpeg</v>
      </c>
    </row>
    <row r="114" spans="1:10">
      <c r="A114" s="18">
        <v>113</v>
      </c>
      <c r="B114" s="19" t="s">
        <v>343</v>
      </c>
      <c r="C114" s="20" t="s">
        <v>344</v>
      </c>
      <c r="D114" s="12" t="str">
        <f>VLOOKUP(C114,[1]Sheet1!$A$4:$C$269,2,0)</f>
        <v>037190015583</v>
      </c>
      <c r="E114" s="15" t="str">
        <f>+VLOOKUP(C114,[1]Sheet1!$A$4:$C$269,3,0)</f>
        <v>ttttho@ktxhcm.edu.vn</v>
      </c>
      <c r="F114" s="3" t="s">
        <v>61</v>
      </c>
      <c r="J114" s="11" t="str">
        <f>VLOOKUP(D114,[2]Sheet3!D$1:J$65536,7,FALSE)</f>
        <v>image260.jpeg</v>
      </c>
    </row>
    <row r="115" spans="1:10">
      <c r="A115" s="18">
        <v>114</v>
      </c>
      <c r="B115" s="19" t="s">
        <v>345</v>
      </c>
      <c r="C115" s="20" t="s">
        <v>45</v>
      </c>
      <c r="D115" s="12" t="str">
        <f>VLOOKUP(C115,[1]Sheet1!$A$4:$C$269,2,0)</f>
        <v>040065002904</v>
      </c>
      <c r="E115" s="15" t="str">
        <f>+VLOOKUP(C115,[1]Sheet1!$A$4:$C$269,3,0)</f>
        <v>nvtrung@ktxhcm.edu.vn</v>
      </c>
      <c r="F115" s="3" t="s">
        <v>62</v>
      </c>
      <c r="G115" s="11" t="s">
        <v>100</v>
      </c>
      <c r="H115" s="11" t="s">
        <v>162</v>
      </c>
      <c r="I115" s="11" t="s">
        <v>162</v>
      </c>
      <c r="J115" s="11" t="str">
        <f>VLOOKUP(D115,[2]Sheet3!D$1:J$65536,7,FALSE)</f>
        <v>image197.jpeg</v>
      </c>
    </row>
    <row r="116" spans="1:10">
      <c r="A116" s="18">
        <v>115</v>
      </c>
      <c r="B116" s="19" t="s">
        <v>346</v>
      </c>
      <c r="C116" s="20" t="s">
        <v>46</v>
      </c>
      <c r="D116" s="12" t="str">
        <f>VLOOKUP(C116,[1]Sheet1!$A$4:$C$269,2,0)</f>
        <v>034078012280</v>
      </c>
      <c r="E116" s="15" t="str">
        <f>+VLOOKUP(C116,[1]Sheet1!$A$4:$C$269,3,0)</f>
        <v>nvnam@ktxhcm.edu.vn</v>
      </c>
      <c r="F116" s="3" t="s">
        <v>62</v>
      </c>
      <c r="G116" s="11" t="s">
        <v>101</v>
      </c>
      <c r="H116" s="11" t="s">
        <v>162</v>
      </c>
      <c r="J116" s="11" t="str">
        <f>VLOOKUP(D116,[2]Sheet3!D$1:J$65536,7,FALSE)</f>
        <v>image195.jpeg</v>
      </c>
    </row>
    <row r="117" spans="1:10">
      <c r="A117" s="18">
        <v>116</v>
      </c>
      <c r="B117" s="19" t="s">
        <v>347</v>
      </c>
      <c r="C117" s="20" t="s">
        <v>348</v>
      </c>
      <c r="D117" s="12" t="str">
        <f>VLOOKUP(C117,[1]Sheet1!$A$4:$C$269,2,0)</f>
        <v>034086007258</v>
      </c>
      <c r="E117" s="15" t="str">
        <f>+VLOOKUP(C117,[1]Sheet1!$A$4:$C$269,3,0)</f>
        <v>pvphong@ktxhcm.edu.vn</v>
      </c>
      <c r="F117" s="3" t="s">
        <v>62</v>
      </c>
      <c r="J117" s="11" t="str">
        <f>VLOOKUP(D117,[2]Sheet3!D$1:J$65536,7,FALSE)</f>
        <v>image217.jpeg</v>
      </c>
    </row>
    <row r="118" spans="1:10">
      <c r="A118" s="18">
        <v>117</v>
      </c>
      <c r="B118" s="19" t="s">
        <v>349</v>
      </c>
      <c r="C118" s="20" t="s">
        <v>350</v>
      </c>
      <c r="D118" s="12" t="str">
        <f>VLOOKUP(C118,[1]Sheet1!$A$4:$C$269,2,0)</f>
        <v>040089015077</v>
      </c>
      <c r="E118" s="15" t="str">
        <f>+VLOOKUP(C118,[1]Sheet1!$A$4:$C$269,3,0)</f>
        <v>hxky@ktxhcm.edu.vn</v>
      </c>
      <c r="F118" s="3" t="s">
        <v>62</v>
      </c>
      <c r="J118" s="11" t="str">
        <f>VLOOKUP(D118,[2]Sheet3!D$1:J$65536,7,FALSE)</f>
        <v>image64.jpeg</v>
      </c>
    </row>
    <row r="119" spans="1:10">
      <c r="A119" s="18">
        <v>118</v>
      </c>
      <c r="B119" s="19" t="s">
        <v>351</v>
      </c>
      <c r="C119" s="20" t="s">
        <v>352</v>
      </c>
      <c r="D119" s="12" t="str">
        <f>VLOOKUP(C119,[1]Sheet1!$A$4:$C$269,2,0)</f>
        <v>079095024301</v>
      </c>
      <c r="E119" s="15" t="str">
        <f>+VLOOKUP(C119,[1]Sheet1!$A$4:$C$269,3,0)</f>
        <v>ndduc@ktxhcm.edu.vn</v>
      </c>
      <c r="F119" s="3" t="s">
        <v>62</v>
      </c>
      <c r="J119" s="11" t="str">
        <f>VLOOKUP(D119,[2]Sheet3!D$1:J$65536,7,FALSE)</f>
        <v>image120.jpeg</v>
      </c>
    </row>
    <row r="120" spans="1:10">
      <c r="A120" s="18">
        <v>119</v>
      </c>
      <c r="B120" s="19" t="s">
        <v>353</v>
      </c>
      <c r="C120" s="20" t="s">
        <v>47</v>
      </c>
      <c r="D120" s="12" t="str">
        <f>VLOOKUP(C120,[1]Sheet1!$A$4:$C$269,2,0)</f>
        <v>079077032298</v>
      </c>
      <c r="E120" s="15" t="str">
        <f>+VLOOKUP(C120,[1]Sheet1!$A$4:$C$269,3,0)</f>
        <v>lmthao@ktxhcm.edu.vn</v>
      </c>
      <c r="F120" s="3" t="s">
        <v>63</v>
      </c>
      <c r="G120" s="11" t="s">
        <v>102</v>
      </c>
      <c r="H120" s="11" t="s">
        <v>162</v>
      </c>
      <c r="I120" s="11" t="s">
        <v>162</v>
      </c>
      <c r="J120" s="11" t="str">
        <f>VLOOKUP(D120,[2]Sheet3!D$1:J$65536,7,FALSE)</f>
        <v>image77.jpeg</v>
      </c>
    </row>
    <row r="121" spans="1:10">
      <c r="A121" s="18">
        <v>120</v>
      </c>
      <c r="B121" s="19" t="s">
        <v>354</v>
      </c>
      <c r="C121" s="17" t="s">
        <v>48</v>
      </c>
      <c r="D121" s="12" t="str">
        <f>VLOOKUP(C121,[1]Sheet1!$A$4:$C$269,2,0)</f>
        <v>025183019868</v>
      </c>
      <c r="E121" s="15" t="str">
        <f>+VLOOKUP(C121,[1]Sheet1!$A$4:$C$269,3,0)</f>
        <v>ttyen@ktxhcm.edu.vn</v>
      </c>
      <c r="F121" s="3" t="s">
        <v>63</v>
      </c>
      <c r="G121" s="11" t="s">
        <v>103</v>
      </c>
      <c r="H121" s="11" t="s">
        <v>162</v>
      </c>
      <c r="J121" s="11" t="str">
        <f>VLOOKUP(D121,[2]Sheet3!D$1:J$65536,7,FALSE)</f>
        <v>image263.jpeg</v>
      </c>
    </row>
    <row r="122" spans="1:10">
      <c r="A122" s="18">
        <v>121</v>
      </c>
      <c r="B122" s="19" t="s">
        <v>355</v>
      </c>
      <c r="C122" s="17" t="s">
        <v>356</v>
      </c>
      <c r="D122" s="12" t="str">
        <f>VLOOKUP(C122,[1]Sheet1!$A$4:$C$269,2,0)</f>
        <v>052081017316</v>
      </c>
      <c r="E122" s="15" t="str">
        <f>+VLOOKUP(C122,[1]Sheet1!$A$4:$C$269,3,0)</f>
        <v>ntdiep@ktxhcm.edu.vn</v>
      </c>
      <c r="F122" s="3" t="s">
        <v>63</v>
      </c>
      <c r="J122" s="11" t="str">
        <f>VLOOKUP(D122,[2]Sheet3!D$1:J$65536,7,FALSE)</f>
        <v>image146.jpeg</v>
      </c>
    </row>
    <row r="123" spans="1:10">
      <c r="A123" s="18">
        <v>122</v>
      </c>
      <c r="B123" s="19" t="s">
        <v>357</v>
      </c>
      <c r="C123" s="17" t="s">
        <v>358</v>
      </c>
      <c r="D123" s="12" t="str">
        <f>VLOOKUP(C123,[1]Sheet1!$A$4:$C$269,2,0)</f>
        <v>034194019429</v>
      </c>
      <c r="E123" s="15" t="str">
        <f>+VLOOKUP(C123,[1]Sheet1!$A$4:$C$269,3,0)</f>
        <v>cthoa@ktxhcm.edu.vn</v>
      </c>
      <c r="F123" s="3" t="s">
        <v>63</v>
      </c>
      <c r="J123" s="11" t="str">
        <f>VLOOKUP(D123,[2]Sheet3!D$1:J$65536,7,FALSE)</f>
        <v>image8.jpeg</v>
      </c>
    </row>
    <row r="124" spans="1:10">
      <c r="A124" s="18">
        <v>123</v>
      </c>
      <c r="B124" s="19" t="s">
        <v>359</v>
      </c>
      <c r="C124" s="17" t="s">
        <v>172</v>
      </c>
      <c r="D124" s="12" t="str">
        <f>VLOOKUP(C124,[1]Sheet1!$A$4:$C$269,2,0)</f>
        <v>044197002221</v>
      </c>
      <c r="E124" s="15" t="str">
        <f>+VLOOKUP(C124,[1]Sheet1!$A$4:$C$269,3,0)</f>
        <v>trangltt@ktxhcm.edu.vn</v>
      </c>
      <c r="F124" s="3" t="s">
        <v>63</v>
      </c>
      <c r="J124" s="11" t="str">
        <f>VLOOKUP(D124,[2]Sheet3!D$1:J$65536,7,FALSE)</f>
        <v>image92.jpeg</v>
      </c>
    </row>
    <row r="125" spans="1:10">
      <c r="A125" s="18">
        <v>124</v>
      </c>
      <c r="B125" s="19" t="s">
        <v>360</v>
      </c>
      <c r="C125" s="17" t="s">
        <v>361</v>
      </c>
      <c r="D125" s="12" t="str">
        <f>VLOOKUP(C125,[1]Sheet1!$A$4:$C$269,2,0)</f>
        <v>083300006806</v>
      </c>
      <c r="E125" s="30" t="s">
        <v>362</v>
      </c>
      <c r="F125" s="3" t="s">
        <v>63</v>
      </c>
      <c r="J125" s="11" t="str">
        <f>VLOOKUP(D125,[2]Sheet3!D$1:J$65536,7,FALSE)</f>
        <v>image289.jpeg</v>
      </c>
    </row>
    <row r="126" spans="1:10">
      <c r="A126" s="18">
        <v>125</v>
      </c>
      <c r="B126" s="19" t="s">
        <v>363</v>
      </c>
      <c r="C126" s="20" t="s">
        <v>364</v>
      </c>
      <c r="D126" s="12" t="str">
        <f>VLOOKUP(C126,[1]Sheet1!$A$4:$C$269,2,0)</f>
        <v>054175002772</v>
      </c>
      <c r="E126" s="15" t="str">
        <f>+VLOOKUP(C126,[1]Sheet1!$A$4:$C$269,3,0)</f>
        <v>tttuyet@ktxhcm.edu.vn</v>
      </c>
      <c r="F126" s="2" t="s">
        <v>50</v>
      </c>
      <c r="J126" s="11" t="str">
        <f>VLOOKUP(D126,[2]Sheet3!D$1:J$65536,7,FALSE)</f>
        <v>image261.jpeg</v>
      </c>
    </row>
    <row r="127" spans="1:10">
      <c r="A127" s="18">
        <v>126</v>
      </c>
      <c r="B127" s="19" t="s">
        <v>365</v>
      </c>
      <c r="C127" s="20" t="s">
        <v>366</v>
      </c>
      <c r="D127" s="12" t="str">
        <f>VLOOKUP(C127,[1]Sheet1!$A$4:$C$269,2,0)</f>
        <v>034300011409</v>
      </c>
      <c r="E127" s="15" t="str">
        <f>+VLOOKUP(C127,[1]Sheet1!$A$4:$C$269,3,0)</f>
        <v>ntdung@ktxhcm.edu.vn</v>
      </c>
      <c r="F127" s="2" t="s">
        <v>51</v>
      </c>
      <c r="J127" s="11" t="str">
        <f>VLOOKUP(D127,[2]Sheet3!D$1:J$65536,7,FALSE)</f>
        <v>image177.jpeg</v>
      </c>
    </row>
    <row r="128" spans="1:10">
      <c r="A128" s="18">
        <v>127</v>
      </c>
      <c r="B128" s="19" t="s">
        <v>367</v>
      </c>
      <c r="C128" s="20" t="s">
        <v>368</v>
      </c>
      <c r="D128" s="12" t="str">
        <f>VLOOKUP(C128,[1]Sheet1!$A$4:$C$269,2,0)</f>
        <v>056183001368</v>
      </c>
      <c r="E128" s="15" t="s">
        <v>369</v>
      </c>
      <c r="F128" s="2" t="s">
        <v>4</v>
      </c>
      <c r="J128" s="11" t="str">
        <f>VLOOKUP(D128,[2]Sheet3!D$1:J$65536,7,FALSE)</f>
        <v>image28.jpeg</v>
      </c>
    </row>
    <row r="129" spans="1:10">
      <c r="A129" s="18">
        <v>128</v>
      </c>
      <c r="B129" s="19" t="s">
        <v>370</v>
      </c>
      <c r="C129" s="20" t="s">
        <v>371</v>
      </c>
      <c r="D129" s="12" t="str">
        <f>VLOOKUP(C129,[1]Sheet1!$A$4:$C$269,2,0)</f>
        <v>051078007200</v>
      </c>
      <c r="E129" s="15" t="str">
        <f>+VLOOKUP(C129,[1]Sheet1!$A$4:$C$269,3,0)</f>
        <v>pnvy@ktxhcm.edu.vn</v>
      </c>
      <c r="F129" s="2" t="s">
        <v>4</v>
      </c>
      <c r="J129" s="11" t="str">
        <f>VLOOKUP(D129,[2]Sheet3!D$1:J$65536,7,FALSE)</f>
        <v>image208.jpeg</v>
      </c>
    </row>
    <row r="130" spans="1:10">
      <c r="A130" s="18">
        <v>129</v>
      </c>
      <c r="B130" s="19" t="s">
        <v>372</v>
      </c>
      <c r="C130" s="20" t="s">
        <v>373</v>
      </c>
      <c r="D130" s="12" t="str">
        <f>VLOOKUP(C130,[1]Sheet1!$A$4:$C$269,2,0)</f>
        <v>052092020863</v>
      </c>
      <c r="E130" s="30" t="s">
        <v>374</v>
      </c>
      <c r="F130" s="2" t="s">
        <v>52</v>
      </c>
      <c r="J130" s="11" t="str">
        <f>VLOOKUP(D130,[2]Sheet3!D$1:J$65536,7,FALSE)</f>
        <v>image129.jpeg</v>
      </c>
    </row>
    <row r="131" spans="1:10">
      <c r="A131" s="18">
        <v>130</v>
      </c>
      <c r="B131" s="19" t="s">
        <v>375</v>
      </c>
      <c r="C131" s="20" t="s">
        <v>376</v>
      </c>
      <c r="D131" s="12" t="str">
        <f>VLOOKUP(C131,[1]Sheet1!$A$4:$C$269,2,0)</f>
        <v>083199009430</v>
      </c>
      <c r="E131" s="15" t="str">
        <f>+VLOOKUP(C131,[1]Sheet1!$A$4:$C$269,3,0)</f>
        <v>thngan@ktxhcm.edu.vn</v>
      </c>
      <c r="F131" s="2" t="s">
        <v>53</v>
      </c>
      <c r="J131" s="11" t="str">
        <f>VLOOKUP(D131,[2]Sheet3!D$1:J$65536,7,FALSE)</f>
        <v>image278.jpeg</v>
      </c>
    </row>
    <row r="132" spans="1:10">
      <c r="A132" s="18">
        <v>131</v>
      </c>
      <c r="B132" s="19" t="s">
        <v>377</v>
      </c>
      <c r="C132" s="20" t="s">
        <v>378</v>
      </c>
      <c r="D132" s="12" t="str">
        <f>VLOOKUP(C132,[1]Sheet1!$A$4:$C$269,2,0)</f>
        <v>049084001304</v>
      </c>
      <c r="E132" s="15" t="str">
        <f>+VLOOKUP(C132,[1]Sheet1!$A$4:$C$269,3,0)</f>
        <v>lnvu@ktxhcm.edu.vn</v>
      </c>
      <c r="F132" s="2" t="s">
        <v>53</v>
      </c>
      <c r="J132" s="11" t="str">
        <f>VLOOKUP(D132,[2]Sheet3!D$1:J$65536,7,FALSE)</f>
        <v>image80.jpeg</v>
      </c>
    </row>
    <row r="133" spans="1:10">
      <c r="A133" s="18">
        <v>132</v>
      </c>
      <c r="B133" s="19" t="s">
        <v>379</v>
      </c>
      <c r="C133" s="17" t="s">
        <v>380</v>
      </c>
      <c r="D133" s="12" t="str">
        <f>VLOOKUP(C133,[1]Sheet1!$A$4:$C$269,2,0)</f>
        <v>037184012609</v>
      </c>
      <c r="E133" s="15" t="str">
        <f>+VLOOKUP(C133,[1]Sheet1!$A$4:$C$269,3,0)</f>
        <v>vtchinh@ktxhcm.edu.vn</v>
      </c>
      <c r="F133" s="2" t="s">
        <v>54</v>
      </c>
      <c r="J133" s="11" t="str">
        <f>VLOOKUP(D133,[2]Sheet3!D$1:J$65536,7,FALSE)</f>
        <v>image292.jpeg</v>
      </c>
    </row>
    <row r="134" spans="1:10">
      <c r="A134" s="18">
        <v>133</v>
      </c>
      <c r="B134" s="19" t="s">
        <v>381</v>
      </c>
      <c r="C134" s="20" t="s">
        <v>382</v>
      </c>
      <c r="D134" s="12" t="str">
        <f>VLOOKUP(C134,[1]Sheet1!$A$4:$C$269,2,0)</f>
        <v xml:space="preserve">042084004624 </v>
      </c>
      <c r="E134" s="15" t="str">
        <f>+VLOOKUP(C134,[1]Sheet1!$A$4:$C$269,3,0)</f>
        <v>nhhai@ktxhcm.edu.vn</v>
      </c>
      <c r="F134" s="2" t="s">
        <v>54</v>
      </c>
      <c r="J134" s="11" t="str">
        <f>VLOOKUP(C134,[2]Sheet3!B$1:J$65536,9,FALSE)</f>
        <v>image133.jpeg</v>
      </c>
    </row>
    <row r="135" spans="1:10">
      <c r="A135" s="18">
        <v>134</v>
      </c>
      <c r="B135" s="19" t="s">
        <v>383</v>
      </c>
      <c r="C135" s="20" t="s">
        <v>384</v>
      </c>
      <c r="D135" s="12" t="str">
        <f>VLOOKUP(C135,[1]Sheet1!$A$4:$C$269,2,0)</f>
        <v>068082008364</v>
      </c>
      <c r="E135" s="15" t="str">
        <f>+VLOOKUP(C135,[1]Sheet1!$A$4:$C$269,3,0)</f>
        <v>nmnhat@ktxhcm.edu.vn</v>
      </c>
      <c r="F135" s="2" t="s">
        <v>55</v>
      </c>
      <c r="J135" s="11" t="str">
        <f>VLOOKUP(D135,[2]Sheet3!D$1:J$65536,7,FALSE)</f>
        <v>image137.jpeg</v>
      </c>
    </row>
    <row r="136" spans="1:10">
      <c r="A136" s="18">
        <v>135</v>
      </c>
      <c r="B136" s="19" t="s">
        <v>385</v>
      </c>
      <c r="C136" s="20" t="s">
        <v>386</v>
      </c>
      <c r="D136" s="12" t="str">
        <f>VLOOKUP(C136,[1]Sheet1!$A$4:$C$269,2,0)</f>
        <v>074084008367</v>
      </c>
      <c r="E136" s="15" t="str">
        <f>+VLOOKUP(C136,[1]Sheet1!$A$4:$C$269,3,0)</f>
        <v>ntcdanh@ktxhcm.edu.vn</v>
      </c>
      <c r="F136" s="2" t="s">
        <v>55</v>
      </c>
      <c r="J136" s="11" t="str">
        <f>VLOOKUP(D136,[2]Sheet3!D$1:J$65536,7,FALSE)</f>
        <v>image179.jpeg</v>
      </c>
    </row>
    <row r="137" spans="1:10">
      <c r="A137" s="18">
        <v>136</v>
      </c>
      <c r="B137" s="19" t="s">
        <v>387</v>
      </c>
      <c r="C137" s="17" t="s">
        <v>172</v>
      </c>
      <c r="D137" s="13" t="s">
        <v>388</v>
      </c>
      <c r="E137" s="15" t="s">
        <v>389</v>
      </c>
      <c r="F137" s="2" t="s">
        <v>56</v>
      </c>
      <c r="J137" s="11" t="str">
        <f>VLOOKUP(D137,[2]Sheet3!D$1:J$65536,7,FALSE)</f>
        <v>image94.jpeg</v>
      </c>
    </row>
    <row r="138" spans="1:10">
      <c r="A138" s="18">
        <v>137</v>
      </c>
      <c r="B138" s="19" t="s">
        <v>390</v>
      </c>
      <c r="C138" s="23" t="s">
        <v>391</v>
      </c>
      <c r="D138" s="12" t="str">
        <f>VLOOKUP(C138,[1]Sheet1!$A$4:$C$269,2,0)</f>
        <v>049195012354</v>
      </c>
      <c r="E138" s="15" t="str">
        <f>+VLOOKUP(C138,[1]Sheet1!$A$4:$C$269,3,0)</f>
        <v>ntkmy@ktxhcm.edu.vn</v>
      </c>
      <c r="F138" s="2" t="s">
        <v>57</v>
      </c>
      <c r="J138" s="11" t="str">
        <f>VLOOKUP(D138,[2]Sheet3!D$1:J$65536,7,FALSE)</f>
        <v>image162.jpeg</v>
      </c>
    </row>
    <row r="139" spans="1:10">
      <c r="A139" s="18">
        <v>138</v>
      </c>
      <c r="B139" s="19" t="s">
        <v>392</v>
      </c>
      <c r="C139" s="20" t="s">
        <v>393</v>
      </c>
      <c r="D139" s="12" t="str">
        <f>VLOOKUP(C139,[1]Sheet1!$A$4:$C$269,2,0)</f>
        <v>042087005379</v>
      </c>
      <c r="E139" s="15" t="str">
        <f>+VLOOKUP(C139,[1]Sheet1!$A$4:$C$269,3,0)</f>
        <v>tduong@ktxhcm.edu.vn</v>
      </c>
      <c r="F139" s="2" t="s">
        <v>58</v>
      </c>
      <c r="J139" s="11" t="str">
        <f>VLOOKUP(D139,[2]Sheet3!D$1:J$65536,7,FALSE)</f>
        <v>image236.jpeg</v>
      </c>
    </row>
    <row r="140" spans="1:10">
      <c r="A140" s="18">
        <v>139</v>
      </c>
      <c r="B140" s="19" t="s">
        <v>394</v>
      </c>
      <c r="C140" s="20" t="s">
        <v>395</v>
      </c>
      <c r="D140" s="12" t="str">
        <f>VLOOKUP(C140,[1]Sheet1!$A$4:$C$269,2,0)</f>
        <v>045083001473</v>
      </c>
      <c r="E140" s="15" t="str">
        <f>+VLOOKUP(C140,[1]Sheet1!$A$4:$C$269,3,0)</f>
        <v>pxtruyen@ktxhcm.edu.vn</v>
      </c>
      <c r="F140" s="2" t="s">
        <v>59</v>
      </c>
      <c r="J140" s="11" t="str">
        <f>VLOOKUP(D140,[2]Sheet3!D$1:J$65536,7,FALSE)</f>
        <v>image229.jpeg</v>
      </c>
    </row>
    <row r="141" spans="1:10">
      <c r="A141" s="18">
        <v>140</v>
      </c>
      <c r="B141" s="19" t="s">
        <v>396</v>
      </c>
      <c r="C141" s="23" t="s">
        <v>397</v>
      </c>
      <c r="D141" s="12" t="str">
        <f>VLOOKUP(C141,[1]Sheet1!$A$4:$C$269,2,0)</f>
        <v>091079005838</v>
      </c>
      <c r="E141" s="15" t="str">
        <f>+VLOOKUP(C141,[1]Sheet1!$A$4:$C$269,3,0)</f>
        <v>htliet@ktxhcm.edu.vn</v>
      </c>
      <c r="F141" s="2" t="s">
        <v>60</v>
      </c>
      <c r="J141" s="11" t="str">
        <f>VLOOKUP(D141,[2]Sheet3!D$1:J$65536,7,FALSE)</f>
        <v>image65.jpeg</v>
      </c>
    </row>
    <row r="142" spans="1:10">
      <c r="A142" s="18">
        <v>141</v>
      </c>
      <c r="B142" s="19" t="s">
        <v>398</v>
      </c>
      <c r="C142" s="23" t="s">
        <v>399</v>
      </c>
      <c r="D142" s="12" t="str">
        <f>VLOOKUP(C142,[1]Sheet1!$A$4:$C$269,2,0)</f>
        <v>042085020811</v>
      </c>
      <c r="E142" s="15" t="str">
        <f>+VLOOKUP(C142,[1]Sheet1!$A$4:$C$269,3,0)</f>
        <v>hlson@ktxhcm.edu.vn</v>
      </c>
      <c r="F142" s="2" t="s">
        <v>61</v>
      </c>
      <c r="J142" s="11" t="str">
        <f>VLOOKUP(D142,[2]Sheet3!D$1:J$65536,7,FALSE)</f>
        <v>image47.jpeg</v>
      </c>
    </row>
    <row r="143" spans="1:10">
      <c r="A143" s="18">
        <v>142</v>
      </c>
      <c r="B143" s="19" t="s">
        <v>400</v>
      </c>
      <c r="C143" s="20" t="s">
        <v>401</v>
      </c>
      <c r="D143" s="12" t="str">
        <f>VLOOKUP(C143,[1]Sheet1!$A$4:$C$269,2,0)</f>
        <v>038192032078</v>
      </c>
      <c r="E143" s="15" t="str">
        <f>+VLOOKUP(C143,[1]Sheet1!$A$4:$C$269,3,0)</f>
        <v>dttrang@ktxhcm.edu.vn</v>
      </c>
      <c r="F143" s="2" t="s">
        <v>62</v>
      </c>
      <c r="J143" s="11" t="str">
        <f>VLOOKUP(D143,[2]Sheet3!D$1:J$65536,7,FALSE)</f>
        <v>image39.jpeg</v>
      </c>
    </row>
    <row r="144" spans="1:10">
      <c r="A144" s="18">
        <v>143</v>
      </c>
      <c r="B144" s="19" t="s">
        <v>402</v>
      </c>
      <c r="C144" s="17" t="s">
        <v>403</v>
      </c>
      <c r="D144" s="12" t="str">
        <f>VLOOKUP(C144,[1]Sheet1!$A$4:$C$269,2,0)</f>
        <v>030066005058</v>
      </c>
      <c r="E144" s="15" t="str">
        <f>+VLOOKUP(C144,[1]Sheet1!$A$4:$C$269,3,0)</f>
        <v>ddthien@ktxhcm.edu.vn</v>
      </c>
      <c r="F144" s="2" t="s">
        <v>63</v>
      </c>
      <c r="J144" s="11" t="str">
        <f>VLOOKUP(D144,[2]Sheet3!D$1:J$65536,7,FALSE)</f>
        <v>image15.jpeg</v>
      </c>
    </row>
  </sheetData>
  <autoFilter ref="A1:J144" xr:uid="{2E329C7D-B066-422D-9B4C-5721C4CF923E}"/>
  <hyperlinks>
    <hyperlink ref="E125" r:id="rId1" xr:uid="{566BC491-A778-4E0F-B3E7-122836BB7E96}"/>
    <hyperlink ref="E130" r:id="rId2" xr:uid="{1F88D380-0F72-4F17-A92F-44952CAD3D07}"/>
    <hyperlink ref="E128" r:id="rId3" xr:uid="{FF568784-3C5F-4A85-BA76-28616D6F0054}"/>
  </hyperlinks>
  <printOptions horizontalCentered="1"/>
  <pageMargins left="0.5" right="0.5" top="0.5" bottom="0.5" header="0.31496062992126" footer="0.31496062992126"/>
  <pageSetup fitToHeight="0" orientation="landscape" r:id="rId4"/>
  <rowBreaks count="1" manualBreakCount="1">
    <brk id="88" max="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26E2-7C71-4820-8898-35D16D987BBB}">
  <dimension ref="A1"/>
  <sheetViews>
    <sheetView topLeftCell="A52" workbookViewId="0">
      <selection activeCell="E86" sqref="E86"/>
    </sheetView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0A8D-98E3-4107-A0A5-4676E0D36B07}">
  <dimension ref="A1:G289"/>
  <sheetViews>
    <sheetView workbookViewId="0">
      <selection activeCell="G1" sqref="G1:G1048576"/>
    </sheetView>
  </sheetViews>
  <sheetFormatPr defaultRowHeight="15"/>
  <cols>
    <col min="4" max="4" width="11" bestFit="1" customWidth="1"/>
  </cols>
  <sheetData>
    <row r="1" spans="1:7" ht="49.5">
      <c r="A1" s="44" t="s">
        <v>14</v>
      </c>
      <c r="B1" s="43" t="s">
        <v>1852</v>
      </c>
      <c r="C1" s="42" t="s">
        <v>50</v>
      </c>
      <c r="D1" s="41" t="s">
        <v>1851</v>
      </c>
      <c r="E1" s="40" t="s">
        <v>1850</v>
      </c>
      <c r="F1" s="39" t="s">
        <v>1160</v>
      </c>
      <c r="G1" s="38" t="s">
        <v>1849</v>
      </c>
    </row>
    <row r="2" spans="1:7" ht="66">
      <c r="A2" s="44" t="s">
        <v>16</v>
      </c>
      <c r="B2" s="43" t="s">
        <v>1848</v>
      </c>
      <c r="C2" s="42" t="s">
        <v>50</v>
      </c>
      <c r="D2" s="41" t="s">
        <v>1847</v>
      </c>
      <c r="E2" s="40" t="s">
        <v>1846</v>
      </c>
      <c r="F2" s="39" t="s">
        <v>1325</v>
      </c>
      <c r="G2" s="38" t="s">
        <v>1845</v>
      </c>
    </row>
    <row r="3" spans="1:7" ht="66">
      <c r="A3" s="46" t="s">
        <v>15</v>
      </c>
      <c r="B3" s="43" t="s">
        <v>1844</v>
      </c>
      <c r="C3" s="42" t="s">
        <v>50</v>
      </c>
      <c r="D3" s="41" t="s">
        <v>1843</v>
      </c>
      <c r="E3" s="40" t="s">
        <v>1842</v>
      </c>
      <c r="F3" s="39" t="s">
        <v>1325</v>
      </c>
      <c r="G3" s="38" t="s">
        <v>1841</v>
      </c>
    </row>
    <row r="4" spans="1:7" ht="49.5">
      <c r="A4" s="44" t="s">
        <v>17</v>
      </c>
      <c r="B4" s="43" t="s">
        <v>1840</v>
      </c>
      <c r="C4" s="42" t="s">
        <v>50</v>
      </c>
      <c r="D4" s="41" t="s">
        <v>1839</v>
      </c>
      <c r="E4" s="40" t="s">
        <v>1838</v>
      </c>
      <c r="F4" s="39" t="s">
        <v>1325</v>
      </c>
      <c r="G4" s="38" t="s">
        <v>1837</v>
      </c>
    </row>
    <row r="5" spans="1:7" ht="33">
      <c r="A5" s="44" t="s">
        <v>13</v>
      </c>
      <c r="B5" s="43" t="s">
        <v>1836</v>
      </c>
      <c r="C5" s="42" t="s">
        <v>50</v>
      </c>
      <c r="D5" s="41" t="s">
        <v>1835</v>
      </c>
      <c r="E5" s="40" t="s">
        <v>1834</v>
      </c>
      <c r="F5" s="39" t="s">
        <v>551</v>
      </c>
      <c r="G5" s="38" t="s">
        <v>1833</v>
      </c>
    </row>
    <row r="6" spans="1:7" ht="66">
      <c r="A6" s="44" t="s">
        <v>1832</v>
      </c>
      <c r="B6" s="43" t="s">
        <v>1831</v>
      </c>
      <c r="C6" s="42" t="s">
        <v>50</v>
      </c>
      <c r="D6" s="41" t="s">
        <v>1830</v>
      </c>
      <c r="E6" s="40" t="s">
        <v>1829</v>
      </c>
      <c r="F6" s="39" t="s">
        <v>551</v>
      </c>
      <c r="G6" s="38" t="s">
        <v>1828</v>
      </c>
    </row>
    <row r="7" spans="1:7" ht="66">
      <c r="A7" s="46" t="s">
        <v>176</v>
      </c>
      <c r="B7" s="43" t="s">
        <v>1827</v>
      </c>
      <c r="C7" s="42" t="s">
        <v>50</v>
      </c>
      <c r="D7" s="41" t="s">
        <v>1826</v>
      </c>
      <c r="E7" s="40" t="s">
        <v>1825</v>
      </c>
      <c r="F7" s="39" t="s">
        <v>551</v>
      </c>
      <c r="G7" s="38" t="s">
        <v>1824</v>
      </c>
    </row>
    <row r="8" spans="1:7" ht="66">
      <c r="A8" s="44" t="s">
        <v>174</v>
      </c>
      <c r="B8" s="43" t="s">
        <v>1823</v>
      </c>
      <c r="C8" s="42" t="s">
        <v>50</v>
      </c>
      <c r="D8" s="41" t="s">
        <v>1822</v>
      </c>
      <c r="E8" s="40" t="s">
        <v>1821</v>
      </c>
      <c r="F8" s="39" t="s">
        <v>551</v>
      </c>
      <c r="G8" s="38" t="s">
        <v>1820</v>
      </c>
    </row>
    <row r="9" spans="1:7" ht="66">
      <c r="A9" s="46" t="s">
        <v>1819</v>
      </c>
      <c r="B9" s="43" t="s">
        <v>1818</v>
      </c>
      <c r="C9" s="42" t="s">
        <v>50</v>
      </c>
      <c r="D9" s="41" t="s">
        <v>1817</v>
      </c>
      <c r="E9" s="50" t="s">
        <v>1816</v>
      </c>
      <c r="F9" s="39" t="s">
        <v>551</v>
      </c>
      <c r="G9" s="38" t="s">
        <v>1815</v>
      </c>
    </row>
    <row r="10" spans="1:7" ht="49.5">
      <c r="A10" s="44" t="s">
        <v>364</v>
      </c>
      <c r="B10" s="43" t="s">
        <v>1814</v>
      </c>
      <c r="C10" s="42" t="s">
        <v>50</v>
      </c>
      <c r="D10" s="41" t="s">
        <v>1813</v>
      </c>
      <c r="E10" s="40" t="s">
        <v>1812</v>
      </c>
      <c r="F10" s="39" t="s">
        <v>551</v>
      </c>
      <c r="G10" s="38" t="s">
        <v>1811</v>
      </c>
    </row>
    <row r="11" spans="1:7" ht="66">
      <c r="A11" s="44" t="s">
        <v>168</v>
      </c>
      <c r="B11" s="43" t="s">
        <v>1810</v>
      </c>
      <c r="C11" s="42" t="s">
        <v>50</v>
      </c>
      <c r="D11" s="41" t="s">
        <v>1809</v>
      </c>
      <c r="E11" s="40" t="s">
        <v>1808</v>
      </c>
      <c r="F11" s="39" t="s">
        <v>551</v>
      </c>
      <c r="G11" s="38" t="s">
        <v>1807</v>
      </c>
    </row>
    <row r="12" spans="1:7" ht="49.5">
      <c r="A12" s="44" t="s">
        <v>1806</v>
      </c>
      <c r="B12" s="43" t="s">
        <v>1805</v>
      </c>
      <c r="C12" s="42" t="s">
        <v>50</v>
      </c>
      <c r="D12" s="41" t="s">
        <v>1804</v>
      </c>
      <c r="E12" s="40" t="s">
        <v>1803</v>
      </c>
      <c r="F12" s="39" t="s">
        <v>527</v>
      </c>
      <c r="G12" s="38" t="s">
        <v>1802</v>
      </c>
    </row>
    <row r="13" spans="1:7" ht="49.5">
      <c r="A13" s="44" t="s">
        <v>1801</v>
      </c>
      <c r="B13" s="43" t="s">
        <v>1800</v>
      </c>
      <c r="C13" s="42" t="s">
        <v>50</v>
      </c>
      <c r="D13" s="41" t="s">
        <v>1799</v>
      </c>
      <c r="E13" s="40" t="s">
        <v>1798</v>
      </c>
      <c r="F13" s="39" t="s">
        <v>527</v>
      </c>
      <c r="G13" s="38" t="s">
        <v>1797</v>
      </c>
    </row>
    <row r="14" spans="1:7" ht="49.5">
      <c r="A14" s="44" t="s">
        <v>1796</v>
      </c>
      <c r="B14" s="43" t="s">
        <v>1795</v>
      </c>
      <c r="C14" s="42" t="s">
        <v>50</v>
      </c>
      <c r="D14" s="41" t="s">
        <v>1794</v>
      </c>
      <c r="E14" s="40" t="s">
        <v>1793</v>
      </c>
      <c r="F14" s="39" t="s">
        <v>527</v>
      </c>
      <c r="G14" s="38" t="s">
        <v>1792</v>
      </c>
    </row>
    <row r="15" spans="1:7" ht="49.5">
      <c r="A15" s="44" t="s">
        <v>1791</v>
      </c>
      <c r="B15" s="43" t="s">
        <v>1790</v>
      </c>
      <c r="C15" s="42" t="s">
        <v>50</v>
      </c>
      <c r="D15" s="41" t="s">
        <v>1789</v>
      </c>
      <c r="E15" s="40" t="s">
        <v>1788</v>
      </c>
      <c r="F15" s="39" t="s">
        <v>527</v>
      </c>
      <c r="G15" s="38" t="s">
        <v>1787</v>
      </c>
    </row>
    <row r="16" spans="1:7" ht="49.5">
      <c r="A16" s="44" t="s">
        <v>1786</v>
      </c>
      <c r="B16" s="43" t="s">
        <v>1785</v>
      </c>
      <c r="C16" s="42" t="s">
        <v>50</v>
      </c>
      <c r="D16" s="41" t="s">
        <v>1784</v>
      </c>
      <c r="E16" s="40" t="s">
        <v>1783</v>
      </c>
      <c r="F16" s="39" t="s">
        <v>551</v>
      </c>
      <c r="G16" s="38" t="s">
        <v>1782</v>
      </c>
    </row>
    <row r="17" spans="1:7" ht="66">
      <c r="A17" s="46" t="s">
        <v>1781</v>
      </c>
      <c r="B17" s="43" t="s">
        <v>1780</v>
      </c>
      <c r="C17" s="42" t="s">
        <v>50</v>
      </c>
      <c r="D17" s="41" t="s">
        <v>1779</v>
      </c>
      <c r="E17" s="40" t="s">
        <v>1778</v>
      </c>
      <c r="F17" s="39" t="s">
        <v>551</v>
      </c>
      <c r="G17" s="38" t="s">
        <v>1777</v>
      </c>
    </row>
    <row r="18" spans="1:7" ht="38.25">
      <c r="A18" s="44" t="s">
        <v>18</v>
      </c>
      <c r="B18" s="43" t="s">
        <v>1776</v>
      </c>
      <c r="C18" s="42" t="s">
        <v>51</v>
      </c>
      <c r="D18" s="41" t="s">
        <v>1775</v>
      </c>
      <c r="E18" s="40" t="s">
        <v>1774</v>
      </c>
      <c r="F18" s="39" t="s">
        <v>1160</v>
      </c>
      <c r="G18" s="38" t="s">
        <v>1773</v>
      </c>
    </row>
    <row r="19" spans="1:7" ht="38.25">
      <c r="A19" s="44" t="s">
        <v>20</v>
      </c>
      <c r="B19" s="43" t="s">
        <v>1772</v>
      </c>
      <c r="C19" s="42" t="s">
        <v>51</v>
      </c>
      <c r="D19" s="41" t="s">
        <v>1771</v>
      </c>
      <c r="E19" s="40" t="s">
        <v>180</v>
      </c>
      <c r="F19" s="39" t="s">
        <v>1325</v>
      </c>
      <c r="G19" s="38" t="s">
        <v>1770</v>
      </c>
    </row>
    <row r="20" spans="1:7" ht="49.5">
      <c r="A20" s="44" t="s">
        <v>19</v>
      </c>
      <c r="B20" s="43" t="s">
        <v>1769</v>
      </c>
      <c r="C20" s="42" t="s">
        <v>51</v>
      </c>
      <c r="D20" s="41" t="s">
        <v>1768</v>
      </c>
      <c r="E20" s="40" t="s">
        <v>1767</v>
      </c>
      <c r="F20" s="39" t="s">
        <v>1325</v>
      </c>
      <c r="G20" s="38" t="s">
        <v>1766</v>
      </c>
    </row>
    <row r="21" spans="1:7" ht="49.5">
      <c r="A21" s="44" t="s">
        <v>182</v>
      </c>
      <c r="B21" s="43" t="s">
        <v>1765</v>
      </c>
      <c r="C21" s="42" t="s">
        <v>51</v>
      </c>
      <c r="D21" s="41" t="s">
        <v>1764</v>
      </c>
      <c r="E21" s="40" t="s">
        <v>1763</v>
      </c>
      <c r="F21" s="39" t="s">
        <v>551</v>
      </c>
      <c r="G21" s="38" t="s">
        <v>1762</v>
      </c>
    </row>
    <row r="22" spans="1:7" ht="49.5">
      <c r="A22" s="44" t="s">
        <v>186</v>
      </c>
      <c r="B22" s="43" t="s">
        <v>1761</v>
      </c>
      <c r="C22" s="42" t="s">
        <v>51</v>
      </c>
      <c r="D22" s="41" t="s">
        <v>1760</v>
      </c>
      <c r="E22" s="40" t="s">
        <v>1759</v>
      </c>
      <c r="F22" s="39" t="s">
        <v>551</v>
      </c>
      <c r="G22" s="38" t="s">
        <v>1758</v>
      </c>
    </row>
    <row r="23" spans="1:7" ht="38.25">
      <c r="A23" s="44" t="s">
        <v>1757</v>
      </c>
      <c r="B23" s="43" t="s">
        <v>1756</v>
      </c>
      <c r="C23" s="42" t="s">
        <v>51</v>
      </c>
      <c r="D23" s="41" t="s">
        <v>1755</v>
      </c>
      <c r="E23" s="40" t="s">
        <v>1754</v>
      </c>
      <c r="F23" s="39" t="s">
        <v>551</v>
      </c>
      <c r="G23" s="38" t="s">
        <v>1753</v>
      </c>
    </row>
    <row r="24" spans="1:7" ht="66">
      <c r="A24" s="44" t="s">
        <v>184</v>
      </c>
      <c r="B24" s="43" t="s">
        <v>1752</v>
      </c>
      <c r="C24" s="42" t="s">
        <v>51</v>
      </c>
      <c r="D24" s="41" t="s">
        <v>1751</v>
      </c>
      <c r="E24" s="40" t="s">
        <v>1750</v>
      </c>
      <c r="F24" s="39" t="s">
        <v>551</v>
      </c>
      <c r="G24" s="38" t="s">
        <v>1749</v>
      </c>
    </row>
    <row r="25" spans="1:7" ht="49.5">
      <c r="A25" s="44" t="s">
        <v>190</v>
      </c>
      <c r="B25" s="43" t="s">
        <v>1748</v>
      </c>
      <c r="C25" s="42" t="s">
        <v>51</v>
      </c>
      <c r="D25" s="41" t="s">
        <v>1747</v>
      </c>
      <c r="E25" s="40" t="s">
        <v>1746</v>
      </c>
      <c r="F25" s="39" t="s">
        <v>551</v>
      </c>
      <c r="G25" s="38" t="s">
        <v>1745</v>
      </c>
    </row>
    <row r="26" spans="1:7" ht="49.5">
      <c r="A26" s="44" t="s">
        <v>1744</v>
      </c>
      <c r="B26" s="43" t="s">
        <v>1743</v>
      </c>
      <c r="C26" s="42" t="s">
        <v>51</v>
      </c>
      <c r="D26" s="41" t="s">
        <v>1742</v>
      </c>
      <c r="E26" s="40" t="s">
        <v>1741</v>
      </c>
      <c r="F26" s="39" t="s">
        <v>551</v>
      </c>
      <c r="G26" s="38" t="s">
        <v>1740</v>
      </c>
    </row>
    <row r="27" spans="1:7" ht="49.5">
      <c r="A27" s="44" t="s">
        <v>1739</v>
      </c>
      <c r="B27" s="43" t="s">
        <v>1738</v>
      </c>
      <c r="C27" s="42" t="s">
        <v>51</v>
      </c>
      <c r="D27" s="41" t="s">
        <v>1737</v>
      </c>
      <c r="E27" s="40" t="s">
        <v>1736</v>
      </c>
      <c r="F27" s="39" t="s">
        <v>551</v>
      </c>
      <c r="G27" s="38" t="s">
        <v>1735</v>
      </c>
    </row>
    <row r="28" spans="1:7" ht="66">
      <c r="A28" s="44" t="s">
        <v>192</v>
      </c>
      <c r="B28" s="43" t="s">
        <v>1734</v>
      </c>
      <c r="C28" s="42" t="s">
        <v>51</v>
      </c>
      <c r="D28" s="41" t="s">
        <v>1733</v>
      </c>
      <c r="E28" s="40" t="s">
        <v>1732</v>
      </c>
      <c r="F28" s="39" t="s">
        <v>551</v>
      </c>
      <c r="G28" s="38" t="s">
        <v>1731</v>
      </c>
    </row>
    <row r="29" spans="1:7" ht="66">
      <c r="A29" s="44" t="s">
        <v>1730</v>
      </c>
      <c r="B29" s="43" t="s">
        <v>1729</v>
      </c>
      <c r="C29" s="42" t="s">
        <v>51</v>
      </c>
      <c r="D29" s="41" t="s">
        <v>1728</v>
      </c>
      <c r="E29" s="40" t="s">
        <v>1727</v>
      </c>
      <c r="F29" s="39" t="s">
        <v>551</v>
      </c>
      <c r="G29" s="38" t="s">
        <v>1726</v>
      </c>
    </row>
    <row r="30" spans="1:7" ht="66">
      <c r="A30" s="44" t="s">
        <v>188</v>
      </c>
      <c r="B30" s="43" t="s">
        <v>1725</v>
      </c>
      <c r="C30" s="42" t="s">
        <v>51</v>
      </c>
      <c r="D30" s="41" t="s">
        <v>1724</v>
      </c>
      <c r="E30" s="40" t="s">
        <v>1723</v>
      </c>
      <c r="F30" s="39" t="s">
        <v>551</v>
      </c>
      <c r="G30" s="38" t="s">
        <v>1722</v>
      </c>
    </row>
    <row r="31" spans="1:7" ht="38.25">
      <c r="A31" s="44" t="s">
        <v>1721</v>
      </c>
      <c r="B31" s="43" t="s">
        <v>1720</v>
      </c>
      <c r="C31" s="42" t="s">
        <v>51</v>
      </c>
      <c r="D31" s="41" t="s">
        <v>1719</v>
      </c>
      <c r="E31" s="40" t="s">
        <v>1718</v>
      </c>
      <c r="F31" s="39" t="s">
        <v>551</v>
      </c>
      <c r="G31" s="38" t="s">
        <v>1717</v>
      </c>
    </row>
    <row r="32" spans="1:7" ht="66">
      <c r="A32" s="44" t="s">
        <v>1716</v>
      </c>
      <c r="B32" s="43" t="s">
        <v>1715</v>
      </c>
      <c r="C32" s="42" t="s">
        <v>51</v>
      </c>
      <c r="D32" s="41" t="s">
        <v>1714</v>
      </c>
      <c r="E32" s="40" t="s">
        <v>1713</v>
      </c>
      <c r="F32" s="39" t="s">
        <v>551</v>
      </c>
      <c r="G32" s="38" t="s">
        <v>1712</v>
      </c>
    </row>
    <row r="33" spans="1:7" ht="49.5">
      <c r="A33" s="44" t="s">
        <v>366</v>
      </c>
      <c r="B33" s="43" t="s">
        <v>1711</v>
      </c>
      <c r="C33" s="42" t="s">
        <v>51</v>
      </c>
      <c r="D33" s="41" t="s">
        <v>1710</v>
      </c>
      <c r="E33" s="40" t="s">
        <v>1709</v>
      </c>
      <c r="F33" s="39" t="s">
        <v>551</v>
      </c>
      <c r="G33" s="38" t="s">
        <v>1708</v>
      </c>
    </row>
    <row r="34" spans="1:7" ht="49.5">
      <c r="A34" s="44" t="s">
        <v>1707</v>
      </c>
      <c r="B34" s="43" t="s">
        <v>1706</v>
      </c>
      <c r="C34" s="42" t="s">
        <v>51</v>
      </c>
      <c r="D34" s="41" t="s">
        <v>1705</v>
      </c>
      <c r="E34" s="40" t="s">
        <v>1704</v>
      </c>
      <c r="F34" s="39" t="s">
        <v>551</v>
      </c>
      <c r="G34" s="38" t="s">
        <v>1703</v>
      </c>
    </row>
    <row r="35" spans="1:7" ht="63.75">
      <c r="A35" s="44" t="s">
        <v>21</v>
      </c>
      <c r="B35" s="43" t="s">
        <v>1702</v>
      </c>
      <c r="C35" s="42" t="s">
        <v>1620</v>
      </c>
      <c r="D35" s="41" t="s">
        <v>1701</v>
      </c>
      <c r="E35" s="40" t="s">
        <v>1700</v>
      </c>
      <c r="F35" s="39" t="s">
        <v>1160</v>
      </c>
      <c r="G35" s="38" t="s">
        <v>1699</v>
      </c>
    </row>
    <row r="36" spans="1:7" ht="82.5">
      <c r="A36" s="46" t="s">
        <v>22</v>
      </c>
      <c r="B36" s="43" t="s">
        <v>1698</v>
      </c>
      <c r="C36" s="42" t="s">
        <v>1620</v>
      </c>
      <c r="D36" s="41" t="s">
        <v>1697</v>
      </c>
      <c r="E36" s="40" t="s">
        <v>1696</v>
      </c>
      <c r="F36" s="39" t="s">
        <v>1325</v>
      </c>
      <c r="G36" s="38" t="s">
        <v>1695</v>
      </c>
    </row>
    <row r="37" spans="1:7" ht="66">
      <c r="A37" s="46" t="s">
        <v>23</v>
      </c>
      <c r="B37" s="43" t="s">
        <v>1694</v>
      </c>
      <c r="C37" s="42" t="s">
        <v>1620</v>
      </c>
      <c r="D37" s="41" t="s">
        <v>1693</v>
      </c>
      <c r="E37" s="40" t="s">
        <v>1692</v>
      </c>
      <c r="F37" s="39" t="s">
        <v>1325</v>
      </c>
      <c r="G37" s="38" t="s">
        <v>1691</v>
      </c>
    </row>
    <row r="38" spans="1:7" ht="63.75">
      <c r="A38" s="44" t="s">
        <v>31</v>
      </c>
      <c r="B38" s="43" t="s">
        <v>1690</v>
      </c>
      <c r="C38" s="42" t="s">
        <v>1620</v>
      </c>
      <c r="D38" s="41" t="s">
        <v>1689</v>
      </c>
      <c r="E38" s="40" t="s">
        <v>1688</v>
      </c>
      <c r="F38" s="39" t="s">
        <v>1325</v>
      </c>
      <c r="G38" s="38" t="s">
        <v>1687</v>
      </c>
    </row>
    <row r="39" spans="1:7" ht="66">
      <c r="A39" s="44" t="s">
        <v>1686</v>
      </c>
      <c r="B39" s="43" t="s">
        <v>1685</v>
      </c>
      <c r="C39" s="42" t="s">
        <v>1620</v>
      </c>
      <c r="D39" s="41" t="s">
        <v>1684</v>
      </c>
      <c r="E39" s="40" t="s">
        <v>1683</v>
      </c>
      <c r="F39" s="39" t="s">
        <v>551</v>
      </c>
      <c r="G39" s="38" t="s">
        <v>1682</v>
      </c>
    </row>
    <row r="40" spans="1:7" ht="63.75">
      <c r="A40" s="44" t="s">
        <v>1681</v>
      </c>
      <c r="B40" s="43" t="s">
        <v>1680</v>
      </c>
      <c r="C40" s="42" t="s">
        <v>1620</v>
      </c>
      <c r="D40" s="41" t="s">
        <v>1679</v>
      </c>
      <c r="E40" s="40" t="s">
        <v>1678</v>
      </c>
      <c r="F40" s="39" t="s">
        <v>551</v>
      </c>
      <c r="G40" s="38" t="s">
        <v>1677</v>
      </c>
    </row>
    <row r="41" spans="1:7" ht="63.75">
      <c r="A41" s="44" t="s">
        <v>203</v>
      </c>
      <c r="B41" s="43" t="s">
        <v>1676</v>
      </c>
      <c r="C41" s="42" t="s">
        <v>1620</v>
      </c>
      <c r="D41" s="41" t="s">
        <v>1675</v>
      </c>
      <c r="E41" s="40" t="s">
        <v>1674</v>
      </c>
      <c r="F41" s="39" t="s">
        <v>551</v>
      </c>
      <c r="G41" s="38" t="s">
        <v>1673</v>
      </c>
    </row>
    <row r="42" spans="1:7" ht="66">
      <c r="A42" s="44" t="s">
        <v>1672</v>
      </c>
      <c r="B42" s="43" t="s">
        <v>1671</v>
      </c>
      <c r="C42" s="42" t="s">
        <v>1620</v>
      </c>
      <c r="D42" s="41" t="s">
        <v>1670</v>
      </c>
      <c r="E42" s="40" t="s">
        <v>1669</v>
      </c>
      <c r="F42" s="39" t="s">
        <v>551</v>
      </c>
      <c r="G42" s="38" t="s">
        <v>1668</v>
      </c>
    </row>
    <row r="43" spans="1:7" ht="66">
      <c r="A43" s="44" t="s">
        <v>199</v>
      </c>
      <c r="B43" s="43" t="s">
        <v>1667</v>
      </c>
      <c r="C43" s="42" t="s">
        <v>1620</v>
      </c>
      <c r="D43" s="41" t="s">
        <v>1666</v>
      </c>
      <c r="E43" s="40" t="s">
        <v>1665</v>
      </c>
      <c r="F43" s="39" t="s">
        <v>551</v>
      </c>
      <c r="G43" s="38" t="s">
        <v>1664</v>
      </c>
    </row>
    <row r="44" spans="1:7" ht="63.75">
      <c r="A44" s="44" t="s">
        <v>1663</v>
      </c>
      <c r="B44" s="43" t="s">
        <v>1662</v>
      </c>
      <c r="C44" s="42" t="s">
        <v>1620</v>
      </c>
      <c r="D44" s="41" t="s">
        <v>1661</v>
      </c>
      <c r="E44" s="40" t="s">
        <v>1660</v>
      </c>
      <c r="F44" s="39" t="s">
        <v>551</v>
      </c>
      <c r="G44" s="38" t="s">
        <v>1659</v>
      </c>
    </row>
    <row r="45" spans="1:7" ht="63.75">
      <c r="A45" s="44" t="s">
        <v>1658</v>
      </c>
      <c r="B45" s="43" t="s">
        <v>1657</v>
      </c>
      <c r="C45" s="42" t="s">
        <v>1620</v>
      </c>
      <c r="D45" s="41" t="s">
        <v>1656</v>
      </c>
      <c r="E45" s="40" t="s">
        <v>1655</v>
      </c>
      <c r="F45" s="39" t="s">
        <v>527</v>
      </c>
      <c r="G45" s="38" t="s">
        <v>1654</v>
      </c>
    </row>
    <row r="46" spans="1:7" ht="63.75">
      <c r="A46" s="44" t="s">
        <v>368</v>
      </c>
      <c r="B46" s="43" t="s">
        <v>1653</v>
      </c>
      <c r="C46" s="42" t="s">
        <v>1620</v>
      </c>
      <c r="D46" s="41" t="s">
        <v>1652</v>
      </c>
      <c r="E46" s="40" t="s">
        <v>369</v>
      </c>
      <c r="F46" s="39" t="s">
        <v>551</v>
      </c>
      <c r="G46" s="38" t="s">
        <v>1651</v>
      </c>
    </row>
    <row r="47" spans="1:7" ht="66">
      <c r="A47" s="44" t="s">
        <v>207</v>
      </c>
      <c r="B47" s="43" t="s">
        <v>1650</v>
      </c>
      <c r="C47" s="42" t="s">
        <v>1620</v>
      </c>
      <c r="D47" s="41" t="s">
        <v>1649</v>
      </c>
      <c r="E47" s="40" t="s">
        <v>1648</v>
      </c>
      <c r="F47" s="39" t="s">
        <v>551</v>
      </c>
      <c r="G47" s="38" t="s">
        <v>1647</v>
      </c>
    </row>
    <row r="48" spans="1:7" ht="63.75">
      <c r="A48" s="44" t="s">
        <v>205</v>
      </c>
      <c r="B48" s="43" t="s">
        <v>1646</v>
      </c>
      <c r="C48" s="42" t="s">
        <v>1620</v>
      </c>
      <c r="D48" s="41" t="s">
        <v>1645</v>
      </c>
      <c r="E48" s="40" t="s">
        <v>1644</v>
      </c>
      <c r="F48" s="39" t="s">
        <v>551</v>
      </c>
      <c r="G48" s="38" t="s">
        <v>1643</v>
      </c>
    </row>
    <row r="49" spans="1:7" ht="63.75">
      <c r="A49" s="44" t="s">
        <v>197</v>
      </c>
      <c r="B49" s="43" t="s">
        <v>1642</v>
      </c>
      <c r="C49" s="42" t="s">
        <v>1620</v>
      </c>
      <c r="D49" s="41" t="s">
        <v>1641</v>
      </c>
      <c r="E49" s="40" t="s">
        <v>1640</v>
      </c>
      <c r="F49" s="39" t="s">
        <v>551</v>
      </c>
      <c r="G49" s="38" t="s">
        <v>1639</v>
      </c>
    </row>
    <row r="50" spans="1:7" ht="66">
      <c r="A50" s="44" t="s">
        <v>1638</v>
      </c>
      <c r="B50" s="43" t="s">
        <v>1637</v>
      </c>
      <c r="C50" s="42" t="s">
        <v>1620</v>
      </c>
      <c r="D50" s="41" t="s">
        <v>1636</v>
      </c>
      <c r="E50" s="40" t="s">
        <v>1635</v>
      </c>
      <c r="F50" s="39" t="s">
        <v>551</v>
      </c>
      <c r="G50" s="38" t="s">
        <v>1634</v>
      </c>
    </row>
    <row r="51" spans="1:7" ht="63.75">
      <c r="A51" s="44" t="s">
        <v>201</v>
      </c>
      <c r="B51" s="43" t="s">
        <v>1633</v>
      </c>
      <c r="C51" s="42" t="s">
        <v>1620</v>
      </c>
      <c r="D51" s="41" t="s">
        <v>1632</v>
      </c>
      <c r="E51" s="40" t="s">
        <v>1631</v>
      </c>
      <c r="F51" s="39" t="s">
        <v>551</v>
      </c>
      <c r="G51" s="38" t="s">
        <v>1630</v>
      </c>
    </row>
    <row r="52" spans="1:7" ht="63.75">
      <c r="A52" s="44" t="s">
        <v>209</v>
      </c>
      <c r="B52" s="43" t="s">
        <v>1629</v>
      </c>
      <c r="C52" s="42" t="s">
        <v>1620</v>
      </c>
      <c r="D52" s="41" t="s">
        <v>1628</v>
      </c>
      <c r="E52" s="40" t="s">
        <v>1627</v>
      </c>
      <c r="F52" s="39" t="s">
        <v>551</v>
      </c>
      <c r="G52" s="38" t="s">
        <v>1626</v>
      </c>
    </row>
    <row r="53" spans="1:7" ht="63.75">
      <c r="A53" s="44" t="s">
        <v>371</v>
      </c>
      <c r="B53" s="43" t="s">
        <v>1625</v>
      </c>
      <c r="C53" s="42" t="s">
        <v>1620</v>
      </c>
      <c r="D53" s="41" t="s">
        <v>1624</v>
      </c>
      <c r="E53" s="40" t="s">
        <v>1623</v>
      </c>
      <c r="F53" s="39" t="s">
        <v>551</v>
      </c>
      <c r="G53" s="38" t="s">
        <v>1622</v>
      </c>
    </row>
    <row r="54" spans="1:7" ht="63.75">
      <c r="A54" s="44" t="s">
        <v>146</v>
      </c>
      <c r="B54" s="43" t="s">
        <v>1621</v>
      </c>
      <c r="C54" s="42" t="s">
        <v>1620</v>
      </c>
      <c r="D54" s="41" t="s">
        <v>1619</v>
      </c>
      <c r="E54" s="40" t="s">
        <v>1618</v>
      </c>
      <c r="F54" s="39" t="s">
        <v>527</v>
      </c>
      <c r="G54" s="38" t="s">
        <v>1617</v>
      </c>
    </row>
    <row r="55" spans="1:7" ht="49.5">
      <c r="A55" s="44" t="s">
        <v>1616</v>
      </c>
      <c r="B55" s="43" t="s">
        <v>1615</v>
      </c>
      <c r="C55" s="42" t="s">
        <v>52</v>
      </c>
      <c r="D55" s="41" t="s">
        <v>1614</v>
      </c>
      <c r="E55" s="40" t="s">
        <v>1613</v>
      </c>
      <c r="F55" s="39" t="s">
        <v>1160</v>
      </c>
      <c r="G55" s="38" t="s">
        <v>1612</v>
      </c>
    </row>
    <row r="56" spans="1:7" ht="49.5">
      <c r="A56" s="44" t="s">
        <v>24</v>
      </c>
      <c r="B56" s="43" t="s">
        <v>1611</v>
      </c>
      <c r="C56" s="42" t="s">
        <v>52</v>
      </c>
      <c r="D56" s="41" t="s">
        <v>1610</v>
      </c>
      <c r="E56" s="40" t="s">
        <v>1609</v>
      </c>
      <c r="F56" s="39" t="s">
        <v>1325</v>
      </c>
      <c r="G56" s="38" t="s">
        <v>1608</v>
      </c>
    </row>
    <row r="57" spans="1:7" ht="49.5">
      <c r="A57" s="44" t="s">
        <v>1607</v>
      </c>
      <c r="B57" s="43" t="s">
        <v>1606</v>
      </c>
      <c r="C57" s="42" t="s">
        <v>52</v>
      </c>
      <c r="D57" s="41" t="s">
        <v>1605</v>
      </c>
      <c r="E57" s="40" t="s">
        <v>1604</v>
      </c>
      <c r="F57" s="39" t="s">
        <v>551</v>
      </c>
      <c r="G57" s="38" t="s">
        <v>1603</v>
      </c>
    </row>
    <row r="58" spans="1:7" ht="49.5">
      <c r="A58" s="44" t="s">
        <v>1602</v>
      </c>
      <c r="B58" s="43" t="s">
        <v>1601</v>
      </c>
      <c r="C58" s="42" t="s">
        <v>52</v>
      </c>
      <c r="D58" s="41" t="s">
        <v>1600</v>
      </c>
      <c r="E58" s="40" t="s">
        <v>1599</v>
      </c>
      <c r="F58" s="39" t="s">
        <v>551</v>
      </c>
      <c r="G58" s="38" t="s">
        <v>1598</v>
      </c>
    </row>
    <row r="59" spans="1:7" ht="49.5">
      <c r="A59" s="44" t="s">
        <v>216</v>
      </c>
      <c r="B59" s="43" t="s">
        <v>1597</v>
      </c>
      <c r="C59" s="42" t="s">
        <v>52</v>
      </c>
      <c r="D59" s="41" t="s">
        <v>1596</v>
      </c>
      <c r="E59" s="40" t="s">
        <v>1595</v>
      </c>
      <c r="F59" s="39" t="s">
        <v>551</v>
      </c>
      <c r="G59" s="38" t="s">
        <v>1594</v>
      </c>
    </row>
    <row r="60" spans="1:7" ht="49.5">
      <c r="A60" s="44" t="s">
        <v>214</v>
      </c>
      <c r="B60" s="43" t="s">
        <v>1593</v>
      </c>
      <c r="C60" s="42" t="s">
        <v>52</v>
      </c>
      <c r="D60" s="41" t="s">
        <v>1592</v>
      </c>
      <c r="E60" s="40" t="s">
        <v>1591</v>
      </c>
      <c r="F60" s="39" t="s">
        <v>551</v>
      </c>
      <c r="G60" s="38" t="s">
        <v>1590</v>
      </c>
    </row>
    <row r="61" spans="1:7" ht="49.5">
      <c r="A61" s="44" t="s">
        <v>212</v>
      </c>
      <c r="B61" s="43" t="s">
        <v>1589</v>
      </c>
      <c r="C61" s="42" t="s">
        <v>52</v>
      </c>
      <c r="D61" s="41" t="s">
        <v>1588</v>
      </c>
      <c r="E61" s="40" t="s">
        <v>1587</v>
      </c>
      <c r="F61" s="39" t="s">
        <v>551</v>
      </c>
      <c r="G61" s="38" t="s">
        <v>1586</v>
      </c>
    </row>
    <row r="62" spans="1:7" ht="38.25">
      <c r="A62" s="44" t="s">
        <v>1585</v>
      </c>
      <c r="B62" s="43" t="s">
        <v>1584</v>
      </c>
      <c r="C62" s="42" t="s">
        <v>52</v>
      </c>
      <c r="D62" s="41" t="s">
        <v>1583</v>
      </c>
      <c r="E62" s="40" t="s">
        <v>1582</v>
      </c>
      <c r="F62" s="39" t="s">
        <v>551</v>
      </c>
      <c r="G62" s="38" t="s">
        <v>1581</v>
      </c>
    </row>
    <row r="63" spans="1:7" ht="49.5">
      <c r="A63" s="44" t="s">
        <v>373</v>
      </c>
      <c r="B63" s="43" t="s">
        <v>1580</v>
      </c>
      <c r="C63" s="42" t="s">
        <v>52</v>
      </c>
      <c r="D63" s="41" t="s">
        <v>1579</v>
      </c>
      <c r="E63" s="40" t="s">
        <v>374</v>
      </c>
      <c r="F63" s="39" t="s">
        <v>527</v>
      </c>
      <c r="G63" s="38" t="s">
        <v>1578</v>
      </c>
    </row>
    <row r="64" spans="1:7" ht="51">
      <c r="A64" s="44" t="s">
        <v>32</v>
      </c>
      <c r="B64" s="43" t="s">
        <v>1577</v>
      </c>
      <c r="C64" s="42" t="s">
        <v>56</v>
      </c>
      <c r="D64" s="41" t="s">
        <v>1576</v>
      </c>
      <c r="E64" s="40" t="s">
        <v>1575</v>
      </c>
      <c r="F64" s="39" t="s">
        <v>1160</v>
      </c>
      <c r="G64" s="38" t="s">
        <v>1574</v>
      </c>
    </row>
    <row r="65" spans="1:7" ht="51">
      <c r="A65" s="44" t="s">
        <v>172</v>
      </c>
      <c r="B65" s="43" t="s">
        <v>1573</v>
      </c>
      <c r="C65" s="47" t="s">
        <v>56</v>
      </c>
      <c r="D65" s="41" t="s">
        <v>1572</v>
      </c>
      <c r="E65" s="40" t="s">
        <v>562</v>
      </c>
      <c r="F65" s="39" t="s">
        <v>527</v>
      </c>
      <c r="G65" s="38" t="s">
        <v>1571</v>
      </c>
    </row>
    <row r="66" spans="1:7" ht="51">
      <c r="A66" s="44" t="s">
        <v>1570</v>
      </c>
      <c r="B66" s="43" t="s">
        <v>1569</v>
      </c>
      <c r="C66" s="47" t="s">
        <v>56</v>
      </c>
      <c r="D66" s="41" t="s">
        <v>1568</v>
      </c>
      <c r="E66" s="40" t="s">
        <v>1567</v>
      </c>
      <c r="F66" s="39" t="s">
        <v>527</v>
      </c>
      <c r="G66" s="38" t="s">
        <v>1566</v>
      </c>
    </row>
    <row r="67" spans="1:7" ht="51">
      <c r="A67" s="44" t="s">
        <v>33</v>
      </c>
      <c r="B67" s="43" t="s">
        <v>1565</v>
      </c>
      <c r="C67" s="47" t="s">
        <v>56</v>
      </c>
      <c r="D67" s="41" t="s">
        <v>1564</v>
      </c>
      <c r="E67" s="40" t="s">
        <v>1563</v>
      </c>
      <c r="F67" s="39" t="s">
        <v>551</v>
      </c>
      <c r="G67" s="38" t="s">
        <v>1562</v>
      </c>
    </row>
    <row r="68" spans="1:7" ht="51">
      <c r="A68" s="44" t="s">
        <v>297</v>
      </c>
      <c r="B68" s="43" t="s">
        <v>1561</v>
      </c>
      <c r="C68" s="47" t="s">
        <v>56</v>
      </c>
      <c r="D68" s="41" t="s">
        <v>1560</v>
      </c>
      <c r="E68" s="40" t="s">
        <v>1559</v>
      </c>
      <c r="F68" s="39" t="s">
        <v>551</v>
      </c>
      <c r="G68" s="38" t="s">
        <v>1558</v>
      </c>
    </row>
    <row r="69" spans="1:7" ht="51">
      <c r="A69" s="44" t="s">
        <v>293</v>
      </c>
      <c r="B69" s="43" t="s">
        <v>1557</v>
      </c>
      <c r="C69" s="47" t="s">
        <v>56</v>
      </c>
      <c r="D69" s="41" t="s">
        <v>1556</v>
      </c>
      <c r="E69" s="40" t="s">
        <v>1555</v>
      </c>
      <c r="F69" s="39" t="s">
        <v>551</v>
      </c>
      <c r="G69" s="38" t="s">
        <v>1554</v>
      </c>
    </row>
    <row r="70" spans="1:7" ht="51">
      <c r="A70" s="44" t="s">
        <v>1553</v>
      </c>
      <c r="B70" s="43" t="s">
        <v>1552</v>
      </c>
      <c r="C70" s="47" t="s">
        <v>56</v>
      </c>
      <c r="D70" s="41" t="s">
        <v>1551</v>
      </c>
      <c r="E70" s="40" t="s">
        <v>1550</v>
      </c>
      <c r="F70" s="39" t="s">
        <v>551</v>
      </c>
      <c r="G70" s="38" t="s">
        <v>1549</v>
      </c>
    </row>
    <row r="71" spans="1:7" ht="51">
      <c r="A71" s="44" t="s">
        <v>1548</v>
      </c>
      <c r="B71" s="43" t="s">
        <v>1547</v>
      </c>
      <c r="C71" s="47" t="s">
        <v>56</v>
      </c>
      <c r="D71" s="41" t="s">
        <v>1546</v>
      </c>
      <c r="E71" s="40" t="s">
        <v>1545</v>
      </c>
      <c r="F71" s="39" t="s">
        <v>527</v>
      </c>
      <c r="G71" s="38" t="s">
        <v>1544</v>
      </c>
    </row>
    <row r="72" spans="1:7" ht="51">
      <c r="A72" s="44" t="s">
        <v>1543</v>
      </c>
      <c r="B72" s="43" t="s">
        <v>1542</v>
      </c>
      <c r="C72" s="47" t="s">
        <v>56</v>
      </c>
      <c r="D72" s="41" t="s">
        <v>1541</v>
      </c>
      <c r="E72" s="40" t="s">
        <v>1540</v>
      </c>
      <c r="F72" s="39" t="s">
        <v>527</v>
      </c>
      <c r="G72" s="38" t="s">
        <v>1539</v>
      </c>
    </row>
    <row r="73" spans="1:7" ht="51">
      <c r="A73" s="44" t="s">
        <v>295</v>
      </c>
      <c r="B73" s="43" t="s">
        <v>1538</v>
      </c>
      <c r="C73" s="47" t="s">
        <v>56</v>
      </c>
      <c r="D73" s="41" t="s">
        <v>1537</v>
      </c>
      <c r="E73" s="40" t="s">
        <v>1536</v>
      </c>
      <c r="F73" s="39" t="s">
        <v>551</v>
      </c>
      <c r="G73" s="38" t="s">
        <v>1535</v>
      </c>
    </row>
    <row r="74" spans="1:7" ht="51">
      <c r="A74" s="44" t="s">
        <v>1534</v>
      </c>
      <c r="B74" s="43" t="s">
        <v>1533</v>
      </c>
      <c r="C74" s="47" t="s">
        <v>56</v>
      </c>
      <c r="D74" s="41" t="s">
        <v>1532</v>
      </c>
      <c r="E74" s="40" t="s">
        <v>1531</v>
      </c>
      <c r="F74" s="39" t="s">
        <v>551</v>
      </c>
      <c r="G74" s="38" t="s">
        <v>1530</v>
      </c>
    </row>
    <row r="75" spans="1:7" ht="51">
      <c r="A75" s="44" t="s">
        <v>291</v>
      </c>
      <c r="B75" s="43" t="s">
        <v>1529</v>
      </c>
      <c r="C75" s="47" t="s">
        <v>56</v>
      </c>
      <c r="D75" s="41" t="s">
        <v>1528</v>
      </c>
      <c r="E75" s="40" t="s">
        <v>1527</v>
      </c>
      <c r="F75" s="39" t="s">
        <v>527</v>
      </c>
      <c r="G75" s="38" t="s">
        <v>1526</v>
      </c>
    </row>
    <row r="76" spans="1:7" ht="51">
      <c r="A76" s="44" t="s">
        <v>299</v>
      </c>
      <c r="B76" s="43" t="s">
        <v>1525</v>
      </c>
      <c r="C76" s="47" t="s">
        <v>56</v>
      </c>
      <c r="D76" s="41" t="s">
        <v>1524</v>
      </c>
      <c r="E76" s="40" t="s">
        <v>1523</v>
      </c>
      <c r="F76" s="39" t="s">
        <v>551</v>
      </c>
      <c r="G76" s="38" t="s">
        <v>1522</v>
      </c>
    </row>
    <row r="77" spans="1:7" ht="49.5">
      <c r="A77" s="44" t="s">
        <v>30</v>
      </c>
      <c r="B77" s="43" t="s">
        <v>1521</v>
      </c>
      <c r="C77" s="42" t="s">
        <v>55</v>
      </c>
      <c r="D77" s="41" t="s">
        <v>1520</v>
      </c>
      <c r="E77" s="40" t="s">
        <v>1519</v>
      </c>
      <c r="F77" s="39" t="s">
        <v>1160</v>
      </c>
      <c r="G77" s="38" t="s">
        <v>1518</v>
      </c>
    </row>
    <row r="78" spans="1:7" ht="49.5">
      <c r="A78" s="44" t="s">
        <v>1517</v>
      </c>
      <c r="B78" s="43" t="s">
        <v>1516</v>
      </c>
      <c r="C78" s="42" t="s">
        <v>55</v>
      </c>
      <c r="D78" s="41" t="s">
        <v>1515</v>
      </c>
      <c r="E78" s="40" t="s">
        <v>1514</v>
      </c>
      <c r="F78" s="39" t="s">
        <v>1325</v>
      </c>
      <c r="G78" s="38" t="s">
        <v>1513</v>
      </c>
    </row>
    <row r="79" spans="1:7" ht="49.5">
      <c r="A79" s="44" t="s">
        <v>267</v>
      </c>
      <c r="B79" s="43" t="s">
        <v>1512</v>
      </c>
      <c r="C79" s="42" t="s">
        <v>55</v>
      </c>
      <c r="D79" s="41" t="s">
        <v>1511</v>
      </c>
      <c r="E79" s="40" t="s">
        <v>1510</v>
      </c>
      <c r="F79" s="39" t="s">
        <v>551</v>
      </c>
      <c r="G79" s="38" t="s">
        <v>1509</v>
      </c>
    </row>
    <row r="80" spans="1:7" ht="49.5">
      <c r="A80" s="44" t="s">
        <v>1508</v>
      </c>
      <c r="B80" s="43" t="s">
        <v>1507</v>
      </c>
      <c r="C80" s="42" t="s">
        <v>55</v>
      </c>
      <c r="D80" s="41" t="s">
        <v>1506</v>
      </c>
      <c r="E80" s="40" t="s">
        <v>1505</v>
      </c>
      <c r="F80" s="39" t="s">
        <v>527</v>
      </c>
      <c r="G80" s="38" t="s">
        <v>1504</v>
      </c>
    </row>
    <row r="81" spans="1:7" ht="49.5">
      <c r="A81" s="44" t="s">
        <v>384</v>
      </c>
      <c r="B81" s="43" t="s">
        <v>1503</v>
      </c>
      <c r="C81" s="42" t="s">
        <v>55</v>
      </c>
      <c r="D81" s="41" t="s">
        <v>1502</v>
      </c>
      <c r="E81" s="40" t="s">
        <v>1501</v>
      </c>
      <c r="F81" s="39" t="s">
        <v>527</v>
      </c>
      <c r="G81" s="38" t="s">
        <v>1500</v>
      </c>
    </row>
    <row r="82" spans="1:7" ht="49.5">
      <c r="A82" s="48" t="s">
        <v>275</v>
      </c>
      <c r="B82" s="43" t="s">
        <v>1499</v>
      </c>
      <c r="C82" s="42" t="s">
        <v>55</v>
      </c>
      <c r="D82" s="41" t="s">
        <v>1498</v>
      </c>
      <c r="E82" s="40" t="s">
        <v>1497</v>
      </c>
      <c r="F82" s="39" t="s">
        <v>527</v>
      </c>
      <c r="G82" s="38" t="s">
        <v>1496</v>
      </c>
    </row>
    <row r="83" spans="1:7" ht="66">
      <c r="A83" s="44" t="s">
        <v>269</v>
      </c>
      <c r="B83" s="43" t="s">
        <v>1495</v>
      </c>
      <c r="C83" s="42" t="s">
        <v>55</v>
      </c>
      <c r="D83" s="41" t="s">
        <v>1494</v>
      </c>
      <c r="E83" s="40" t="s">
        <v>1493</v>
      </c>
      <c r="F83" s="39" t="s">
        <v>551</v>
      </c>
      <c r="G83" s="38" t="s">
        <v>1492</v>
      </c>
    </row>
    <row r="84" spans="1:7" ht="49.5">
      <c r="A84" s="44" t="s">
        <v>273</v>
      </c>
      <c r="B84" s="43" t="s">
        <v>1491</v>
      </c>
      <c r="C84" s="42" t="s">
        <v>55</v>
      </c>
      <c r="D84" s="41" t="s">
        <v>1490</v>
      </c>
      <c r="E84" s="40" t="s">
        <v>1489</v>
      </c>
      <c r="F84" s="39" t="s">
        <v>551</v>
      </c>
      <c r="G84" s="38" t="s">
        <v>1488</v>
      </c>
    </row>
    <row r="85" spans="1:7" ht="49.5">
      <c r="A85" s="44" t="s">
        <v>1487</v>
      </c>
      <c r="B85" s="43" t="s">
        <v>1486</v>
      </c>
      <c r="C85" s="42" t="s">
        <v>55</v>
      </c>
      <c r="D85" s="41" t="s">
        <v>1485</v>
      </c>
      <c r="E85" s="40" t="s">
        <v>1484</v>
      </c>
      <c r="F85" s="39" t="s">
        <v>527</v>
      </c>
      <c r="G85" s="38" t="s">
        <v>1483</v>
      </c>
    </row>
    <row r="86" spans="1:7" ht="49.5">
      <c r="A86" s="44" t="s">
        <v>277</v>
      </c>
      <c r="B86" s="43" t="s">
        <v>1482</v>
      </c>
      <c r="C86" s="42" t="s">
        <v>55</v>
      </c>
      <c r="D86" s="41" t="s">
        <v>1481</v>
      </c>
      <c r="E86" s="40" t="s">
        <v>1480</v>
      </c>
      <c r="F86" s="39" t="s">
        <v>527</v>
      </c>
      <c r="G86" s="38" t="s">
        <v>1479</v>
      </c>
    </row>
    <row r="87" spans="1:7" ht="38.25">
      <c r="A87" s="44" t="s">
        <v>1478</v>
      </c>
      <c r="B87" s="43" t="s">
        <v>1477</v>
      </c>
      <c r="C87" s="42" t="s">
        <v>55</v>
      </c>
      <c r="D87" s="41" t="s">
        <v>1476</v>
      </c>
      <c r="E87" s="40" t="s">
        <v>1475</v>
      </c>
      <c r="F87" s="39" t="s">
        <v>527</v>
      </c>
      <c r="G87" s="38" t="s">
        <v>1474</v>
      </c>
    </row>
    <row r="88" spans="1:7" ht="49.5">
      <c r="A88" s="44" t="s">
        <v>279</v>
      </c>
      <c r="B88" s="43" t="s">
        <v>1473</v>
      </c>
      <c r="C88" s="42" t="s">
        <v>55</v>
      </c>
      <c r="D88" s="41" t="s">
        <v>1472</v>
      </c>
      <c r="E88" s="40" t="s">
        <v>1471</v>
      </c>
      <c r="F88" s="39" t="s">
        <v>527</v>
      </c>
      <c r="G88" s="38" t="s">
        <v>1470</v>
      </c>
    </row>
    <row r="89" spans="1:7" ht="66">
      <c r="A89" s="44" t="s">
        <v>1469</v>
      </c>
      <c r="B89" s="43" t="s">
        <v>1468</v>
      </c>
      <c r="C89" s="42" t="s">
        <v>55</v>
      </c>
      <c r="D89" s="41" t="s">
        <v>1467</v>
      </c>
      <c r="E89" s="40" t="s">
        <v>1466</v>
      </c>
      <c r="F89" s="39" t="s">
        <v>527</v>
      </c>
      <c r="G89" s="38" t="s">
        <v>1465</v>
      </c>
    </row>
    <row r="90" spans="1:7" ht="66">
      <c r="A90" s="44" t="s">
        <v>1464</v>
      </c>
      <c r="B90" s="43" t="s">
        <v>1463</v>
      </c>
      <c r="C90" s="42" t="s">
        <v>55</v>
      </c>
      <c r="D90" s="41" t="s">
        <v>1462</v>
      </c>
      <c r="E90" s="40" t="s">
        <v>1461</v>
      </c>
      <c r="F90" s="39" t="s">
        <v>527</v>
      </c>
      <c r="G90" s="38" t="s">
        <v>1460</v>
      </c>
    </row>
    <row r="91" spans="1:7" ht="49.5">
      <c r="A91" s="44" t="s">
        <v>1459</v>
      </c>
      <c r="B91" s="43" t="s">
        <v>1458</v>
      </c>
      <c r="C91" s="42" t="s">
        <v>55</v>
      </c>
      <c r="D91" s="41" t="s">
        <v>1457</v>
      </c>
      <c r="E91" s="40" t="s">
        <v>1456</v>
      </c>
      <c r="F91" s="39" t="s">
        <v>527</v>
      </c>
      <c r="G91" s="38" t="s">
        <v>1455</v>
      </c>
    </row>
    <row r="92" spans="1:7" ht="49.5">
      <c r="A92" s="44" t="s">
        <v>1454</v>
      </c>
      <c r="B92" s="43" t="s">
        <v>1453</v>
      </c>
      <c r="C92" s="42" t="s">
        <v>55</v>
      </c>
      <c r="D92" s="41" t="s">
        <v>1452</v>
      </c>
      <c r="E92" s="40" t="s">
        <v>1451</v>
      </c>
      <c r="F92" s="39" t="s">
        <v>527</v>
      </c>
      <c r="G92" s="38" t="s">
        <v>1450</v>
      </c>
    </row>
    <row r="93" spans="1:7" ht="49.5">
      <c r="A93" s="44" t="s">
        <v>287</v>
      </c>
      <c r="B93" s="43" t="s">
        <v>1449</v>
      </c>
      <c r="C93" s="42" t="s">
        <v>55</v>
      </c>
      <c r="D93" s="41" t="s">
        <v>1448</v>
      </c>
      <c r="E93" s="40" t="s">
        <v>1447</v>
      </c>
      <c r="F93" s="39" t="s">
        <v>527</v>
      </c>
      <c r="G93" s="38" t="s">
        <v>1446</v>
      </c>
    </row>
    <row r="94" spans="1:7" ht="49.5">
      <c r="A94" s="44" t="s">
        <v>1445</v>
      </c>
      <c r="B94" s="43" t="s">
        <v>1444</v>
      </c>
      <c r="C94" s="42" t="s">
        <v>55</v>
      </c>
      <c r="D94" s="41" t="s">
        <v>1443</v>
      </c>
      <c r="E94" s="40" t="s">
        <v>1442</v>
      </c>
      <c r="F94" s="39" t="s">
        <v>527</v>
      </c>
      <c r="G94" s="38" t="s">
        <v>1441</v>
      </c>
    </row>
    <row r="95" spans="1:7" ht="38.25">
      <c r="A95" s="44" t="s">
        <v>1440</v>
      </c>
      <c r="B95" s="43" t="s">
        <v>1439</v>
      </c>
      <c r="C95" s="42" t="s">
        <v>55</v>
      </c>
      <c r="D95" s="41" t="s">
        <v>1438</v>
      </c>
      <c r="E95" s="40" t="s">
        <v>1437</v>
      </c>
      <c r="F95" s="39" t="s">
        <v>527</v>
      </c>
      <c r="G95" s="38" t="s">
        <v>1436</v>
      </c>
    </row>
    <row r="96" spans="1:7" ht="49.5">
      <c r="A96" s="44" t="s">
        <v>1435</v>
      </c>
      <c r="B96" s="43" t="s">
        <v>1434</v>
      </c>
      <c r="C96" s="42" t="s">
        <v>55</v>
      </c>
      <c r="D96" s="41" t="s">
        <v>1433</v>
      </c>
      <c r="E96" s="40" t="s">
        <v>1432</v>
      </c>
      <c r="F96" s="39" t="s">
        <v>527</v>
      </c>
      <c r="G96" s="38" t="s">
        <v>1431</v>
      </c>
    </row>
    <row r="97" spans="1:7" ht="49.5">
      <c r="A97" s="44" t="s">
        <v>1430</v>
      </c>
      <c r="B97" s="43" t="s">
        <v>1429</v>
      </c>
      <c r="C97" s="42" t="s">
        <v>55</v>
      </c>
      <c r="D97" s="41" t="s">
        <v>1428</v>
      </c>
      <c r="E97" s="40" t="s">
        <v>1427</v>
      </c>
      <c r="F97" s="39" t="s">
        <v>527</v>
      </c>
      <c r="G97" s="38" t="s">
        <v>1426</v>
      </c>
    </row>
    <row r="98" spans="1:7" ht="49.5">
      <c r="A98" s="44" t="s">
        <v>1425</v>
      </c>
      <c r="B98" s="43" t="s">
        <v>1424</v>
      </c>
      <c r="C98" s="42" t="s">
        <v>55</v>
      </c>
      <c r="D98" s="41" t="s">
        <v>1423</v>
      </c>
      <c r="E98" s="40" t="s">
        <v>1422</v>
      </c>
      <c r="F98" s="39" t="s">
        <v>527</v>
      </c>
      <c r="G98" s="38" t="s">
        <v>1421</v>
      </c>
    </row>
    <row r="99" spans="1:7" ht="49.5">
      <c r="A99" s="48" t="s">
        <v>1420</v>
      </c>
      <c r="B99" s="43" t="s">
        <v>1419</v>
      </c>
      <c r="C99" s="42" t="s">
        <v>55</v>
      </c>
      <c r="D99" s="41" t="s">
        <v>1418</v>
      </c>
      <c r="E99" s="40" t="s">
        <v>1417</v>
      </c>
      <c r="F99" s="39" t="s">
        <v>527</v>
      </c>
      <c r="G99" s="38" t="s">
        <v>1416</v>
      </c>
    </row>
    <row r="100" spans="1:7" ht="49.5">
      <c r="A100" s="44" t="s">
        <v>1415</v>
      </c>
      <c r="B100" s="43" t="s">
        <v>1414</v>
      </c>
      <c r="C100" s="42" t="s">
        <v>55</v>
      </c>
      <c r="D100" s="41" t="s">
        <v>1413</v>
      </c>
      <c r="E100" s="40" t="s">
        <v>1412</v>
      </c>
      <c r="F100" s="39" t="s">
        <v>527</v>
      </c>
      <c r="G100" s="38" t="s">
        <v>1411</v>
      </c>
    </row>
    <row r="101" spans="1:7" ht="49.5">
      <c r="A101" s="44" t="s">
        <v>1410</v>
      </c>
      <c r="B101" s="43" t="s">
        <v>1409</v>
      </c>
      <c r="C101" s="42" t="s">
        <v>55</v>
      </c>
      <c r="D101" s="41" t="s">
        <v>1408</v>
      </c>
      <c r="E101" s="40" t="s">
        <v>1407</v>
      </c>
      <c r="F101" s="39" t="s">
        <v>527</v>
      </c>
      <c r="G101" s="38" t="s">
        <v>1406</v>
      </c>
    </row>
    <row r="102" spans="1:7" ht="49.5">
      <c r="A102" s="44" t="s">
        <v>1405</v>
      </c>
      <c r="B102" s="43" t="s">
        <v>1404</v>
      </c>
      <c r="C102" s="42" t="s">
        <v>55</v>
      </c>
      <c r="D102" s="41" t="s">
        <v>1403</v>
      </c>
      <c r="E102" s="40" t="s">
        <v>1402</v>
      </c>
      <c r="F102" s="39" t="s">
        <v>527</v>
      </c>
      <c r="G102" s="38" t="s">
        <v>1401</v>
      </c>
    </row>
    <row r="103" spans="1:7" ht="66">
      <c r="A103" s="44" t="s">
        <v>1400</v>
      </c>
      <c r="B103" s="43" t="s">
        <v>1399</v>
      </c>
      <c r="C103" s="42" t="s">
        <v>55</v>
      </c>
      <c r="D103" s="41" t="s">
        <v>1398</v>
      </c>
      <c r="E103" s="40" t="s">
        <v>1397</v>
      </c>
      <c r="F103" s="39" t="s">
        <v>527</v>
      </c>
      <c r="G103" s="38" t="s">
        <v>1396</v>
      </c>
    </row>
    <row r="104" spans="1:7" ht="49.5">
      <c r="A104" s="44" t="s">
        <v>1395</v>
      </c>
      <c r="B104" s="43" t="s">
        <v>1394</v>
      </c>
      <c r="C104" s="42" t="s">
        <v>55</v>
      </c>
      <c r="D104" s="41" t="s">
        <v>1393</v>
      </c>
      <c r="E104" s="40" t="s">
        <v>1392</v>
      </c>
      <c r="F104" s="39" t="s">
        <v>527</v>
      </c>
      <c r="G104" s="38" t="s">
        <v>1391</v>
      </c>
    </row>
    <row r="105" spans="1:7" ht="49.5">
      <c r="A105" s="48" t="s">
        <v>1390</v>
      </c>
      <c r="B105" s="43" t="s">
        <v>1389</v>
      </c>
      <c r="C105" s="42" t="s">
        <v>55</v>
      </c>
      <c r="D105" s="41" t="s">
        <v>1388</v>
      </c>
      <c r="E105" s="40" t="s">
        <v>1387</v>
      </c>
      <c r="F105" s="39" t="s">
        <v>527</v>
      </c>
      <c r="G105" s="38" t="s">
        <v>1386</v>
      </c>
    </row>
    <row r="106" spans="1:7" ht="49.5">
      <c r="A106" s="44" t="s">
        <v>1385</v>
      </c>
      <c r="B106" s="43" t="s">
        <v>1384</v>
      </c>
      <c r="C106" s="42" t="s">
        <v>55</v>
      </c>
      <c r="D106" s="41" t="s">
        <v>1383</v>
      </c>
      <c r="E106" s="40" t="s">
        <v>1382</v>
      </c>
      <c r="F106" s="39" t="s">
        <v>527</v>
      </c>
      <c r="G106" s="38" t="s">
        <v>1381</v>
      </c>
    </row>
    <row r="107" spans="1:7" ht="49.5">
      <c r="A107" s="48" t="s">
        <v>1380</v>
      </c>
      <c r="B107" s="43" t="s">
        <v>1379</v>
      </c>
      <c r="C107" s="42" t="s">
        <v>55</v>
      </c>
      <c r="D107" s="41" t="s">
        <v>1378</v>
      </c>
      <c r="E107" s="40" t="s">
        <v>1377</v>
      </c>
      <c r="F107" s="39" t="s">
        <v>527</v>
      </c>
      <c r="G107" s="38" t="s">
        <v>1376</v>
      </c>
    </row>
    <row r="108" spans="1:7" ht="49.5">
      <c r="A108" s="44" t="s">
        <v>1375</v>
      </c>
      <c r="B108" s="43" t="s">
        <v>1374</v>
      </c>
      <c r="C108" s="42" t="s">
        <v>55</v>
      </c>
      <c r="D108" s="41" t="s">
        <v>1373</v>
      </c>
      <c r="E108" s="40" t="s">
        <v>1372</v>
      </c>
      <c r="F108" s="39" t="s">
        <v>527</v>
      </c>
      <c r="G108" s="38" t="s">
        <v>1371</v>
      </c>
    </row>
    <row r="109" spans="1:7" ht="49.5">
      <c r="A109" s="44" t="s">
        <v>1370</v>
      </c>
      <c r="B109" s="43" t="s">
        <v>1369</v>
      </c>
      <c r="C109" s="42" t="s">
        <v>55</v>
      </c>
      <c r="D109" s="41" t="s">
        <v>1368</v>
      </c>
      <c r="E109" s="40" t="s">
        <v>1367</v>
      </c>
      <c r="F109" s="39" t="s">
        <v>527</v>
      </c>
      <c r="G109" s="38" t="s">
        <v>1366</v>
      </c>
    </row>
    <row r="110" spans="1:7" ht="49.5">
      <c r="A110" s="44" t="s">
        <v>1365</v>
      </c>
      <c r="B110" s="43" t="s">
        <v>1364</v>
      </c>
      <c r="C110" s="42" t="s">
        <v>55</v>
      </c>
      <c r="D110" s="41" t="s">
        <v>1363</v>
      </c>
      <c r="E110" s="40" t="s">
        <v>1362</v>
      </c>
      <c r="F110" s="39" t="s">
        <v>527</v>
      </c>
      <c r="G110" s="38" t="s">
        <v>1361</v>
      </c>
    </row>
    <row r="111" spans="1:7" ht="49.5">
      <c r="A111" s="44" t="s">
        <v>1360</v>
      </c>
      <c r="B111" s="43" t="s">
        <v>1359</v>
      </c>
      <c r="C111" s="42" t="s">
        <v>55</v>
      </c>
      <c r="D111" s="41" t="s">
        <v>1358</v>
      </c>
      <c r="E111" s="40" t="s">
        <v>1357</v>
      </c>
      <c r="F111" s="39" t="s">
        <v>527</v>
      </c>
      <c r="G111" s="38" t="s">
        <v>1356</v>
      </c>
    </row>
    <row r="112" spans="1:7" ht="49.5">
      <c r="A112" s="44" t="s">
        <v>1355</v>
      </c>
      <c r="B112" s="43" t="s">
        <v>1354</v>
      </c>
      <c r="C112" s="42" t="s">
        <v>55</v>
      </c>
      <c r="D112" s="41" t="s">
        <v>1353</v>
      </c>
      <c r="E112" s="40" t="s">
        <v>1352</v>
      </c>
      <c r="F112" s="39" t="s">
        <v>527</v>
      </c>
      <c r="G112" s="38" t="s">
        <v>1351</v>
      </c>
    </row>
    <row r="113" spans="1:7" ht="49.5">
      <c r="A113" s="44" t="s">
        <v>1350</v>
      </c>
      <c r="B113" s="43" t="s">
        <v>1349</v>
      </c>
      <c r="C113" s="42" t="s">
        <v>55</v>
      </c>
      <c r="D113" s="41" t="s">
        <v>1348</v>
      </c>
      <c r="E113" s="40" t="s">
        <v>1347</v>
      </c>
      <c r="F113" s="39" t="s">
        <v>527</v>
      </c>
      <c r="G113" s="38" t="s">
        <v>1346</v>
      </c>
    </row>
    <row r="114" spans="1:7" ht="49.5">
      <c r="A114" s="44" t="s">
        <v>1345</v>
      </c>
      <c r="B114" s="43" t="s">
        <v>1344</v>
      </c>
      <c r="C114" s="42" t="s">
        <v>55</v>
      </c>
      <c r="D114" s="41" t="s">
        <v>1343</v>
      </c>
      <c r="E114" s="40" t="s">
        <v>1342</v>
      </c>
      <c r="F114" s="39" t="s">
        <v>527</v>
      </c>
      <c r="G114" s="38" t="s">
        <v>1341</v>
      </c>
    </row>
    <row r="115" spans="1:7" ht="49.5">
      <c r="A115" s="44" t="s">
        <v>285</v>
      </c>
      <c r="B115" s="43" t="s">
        <v>1340</v>
      </c>
      <c r="C115" s="42" t="s">
        <v>55</v>
      </c>
      <c r="D115" s="41" t="s">
        <v>1339</v>
      </c>
      <c r="E115" s="40" t="s">
        <v>1338</v>
      </c>
      <c r="F115" s="39" t="s">
        <v>527</v>
      </c>
      <c r="G115" s="38" t="s">
        <v>1337</v>
      </c>
    </row>
    <row r="116" spans="1:7" ht="66">
      <c r="A116" s="44" t="s">
        <v>386</v>
      </c>
      <c r="B116" s="43" t="s">
        <v>1336</v>
      </c>
      <c r="C116" s="42" t="s">
        <v>55</v>
      </c>
      <c r="D116" s="41" t="s">
        <v>1335</v>
      </c>
      <c r="E116" s="40" t="s">
        <v>1334</v>
      </c>
      <c r="F116" s="39" t="s">
        <v>527</v>
      </c>
      <c r="G116" s="38" t="s">
        <v>1333</v>
      </c>
    </row>
    <row r="117" spans="1:7" ht="49.5">
      <c r="A117" s="44" t="s">
        <v>28</v>
      </c>
      <c r="B117" s="43" t="s">
        <v>1332</v>
      </c>
      <c r="C117" s="42" t="s">
        <v>54</v>
      </c>
      <c r="D117" s="41" t="s">
        <v>1331</v>
      </c>
      <c r="E117" s="40" t="s">
        <v>1330</v>
      </c>
      <c r="F117" s="39" t="s">
        <v>1160</v>
      </c>
      <c r="G117" s="38" t="s">
        <v>1329</v>
      </c>
    </row>
    <row r="118" spans="1:7" ht="49.5">
      <c r="A118" s="44" t="s">
        <v>29</v>
      </c>
      <c r="B118" s="43" t="s">
        <v>1328</v>
      </c>
      <c r="C118" s="42" t="s">
        <v>54</v>
      </c>
      <c r="D118" s="41" t="s">
        <v>1327</v>
      </c>
      <c r="E118" s="40" t="s">
        <v>1326</v>
      </c>
      <c r="F118" s="39" t="s">
        <v>1325</v>
      </c>
      <c r="G118" s="38" t="s">
        <v>1324</v>
      </c>
    </row>
    <row r="119" spans="1:7" ht="66">
      <c r="A119" s="44" t="s">
        <v>251</v>
      </c>
      <c r="B119" s="43" t="s">
        <v>1323</v>
      </c>
      <c r="C119" s="42" t="s">
        <v>54</v>
      </c>
      <c r="D119" s="41" t="s">
        <v>1322</v>
      </c>
      <c r="E119" s="40" t="s">
        <v>1321</v>
      </c>
      <c r="F119" s="39" t="s">
        <v>527</v>
      </c>
      <c r="G119" s="38" t="s">
        <v>1320</v>
      </c>
    </row>
    <row r="120" spans="1:7" ht="49.5">
      <c r="A120" s="44" t="s">
        <v>1319</v>
      </c>
      <c r="B120" s="43" t="s">
        <v>1318</v>
      </c>
      <c r="C120" s="42" t="s">
        <v>54</v>
      </c>
      <c r="D120" s="41" t="s">
        <v>810</v>
      </c>
      <c r="E120" s="40" t="s">
        <v>1317</v>
      </c>
      <c r="F120" s="39" t="s">
        <v>527</v>
      </c>
      <c r="G120" s="38" t="s">
        <v>1316</v>
      </c>
    </row>
    <row r="121" spans="1:7" ht="66">
      <c r="A121" s="46" t="s">
        <v>1315</v>
      </c>
      <c r="B121" s="43" t="s">
        <v>1314</v>
      </c>
      <c r="C121" s="42" t="s">
        <v>54</v>
      </c>
      <c r="D121" s="41" t="s">
        <v>1313</v>
      </c>
      <c r="E121" s="40" t="s">
        <v>1312</v>
      </c>
      <c r="F121" s="39" t="s">
        <v>527</v>
      </c>
      <c r="G121" s="38" t="s">
        <v>1311</v>
      </c>
    </row>
    <row r="122" spans="1:7" ht="66">
      <c r="A122" s="44" t="s">
        <v>1310</v>
      </c>
      <c r="B122" s="43" t="s">
        <v>1309</v>
      </c>
      <c r="C122" s="42" t="s">
        <v>54</v>
      </c>
      <c r="D122" s="41" t="s">
        <v>1308</v>
      </c>
      <c r="E122" s="40" t="s">
        <v>1307</v>
      </c>
      <c r="F122" s="39" t="s">
        <v>551</v>
      </c>
      <c r="G122" s="38" t="s">
        <v>1306</v>
      </c>
    </row>
    <row r="123" spans="1:7" ht="49.5">
      <c r="A123" s="44" t="s">
        <v>249</v>
      </c>
      <c r="B123" s="43" t="s">
        <v>1305</v>
      </c>
      <c r="C123" s="42" t="s">
        <v>54</v>
      </c>
      <c r="D123" s="41" t="s">
        <v>1304</v>
      </c>
      <c r="E123" s="40" t="s">
        <v>1303</v>
      </c>
      <c r="F123" s="39" t="s">
        <v>527</v>
      </c>
      <c r="G123" s="38" t="s">
        <v>1302</v>
      </c>
    </row>
    <row r="124" spans="1:7" ht="49.5">
      <c r="A124" s="48" t="s">
        <v>1301</v>
      </c>
      <c r="B124" s="43" t="s">
        <v>1300</v>
      </c>
      <c r="C124" s="42" t="s">
        <v>54</v>
      </c>
      <c r="D124" s="41" t="s">
        <v>1299</v>
      </c>
      <c r="E124" s="40" t="s">
        <v>1298</v>
      </c>
      <c r="F124" s="39" t="s">
        <v>527</v>
      </c>
      <c r="G124" s="38" t="s">
        <v>1297</v>
      </c>
    </row>
    <row r="125" spans="1:7" ht="49.5">
      <c r="A125" s="48" t="s">
        <v>239</v>
      </c>
      <c r="B125" s="43" t="s">
        <v>1296</v>
      </c>
      <c r="C125" s="42" t="s">
        <v>54</v>
      </c>
      <c r="D125" s="41" t="s">
        <v>1295</v>
      </c>
      <c r="E125" s="40" t="s">
        <v>1294</v>
      </c>
      <c r="F125" s="39" t="s">
        <v>527</v>
      </c>
      <c r="G125" s="38" t="s">
        <v>1293</v>
      </c>
    </row>
    <row r="126" spans="1:7" ht="33">
      <c r="A126" s="48" t="s">
        <v>245</v>
      </c>
      <c r="B126" s="43" t="s">
        <v>1292</v>
      </c>
      <c r="C126" s="42" t="s">
        <v>54</v>
      </c>
      <c r="D126" s="41" t="s">
        <v>1291</v>
      </c>
      <c r="E126" s="40" t="s">
        <v>1290</v>
      </c>
      <c r="F126" s="39" t="s">
        <v>527</v>
      </c>
      <c r="G126" s="38" t="s">
        <v>1289</v>
      </c>
    </row>
    <row r="127" spans="1:7" ht="49.5">
      <c r="A127" s="48" t="s">
        <v>243</v>
      </c>
      <c r="B127" s="43" t="s">
        <v>1288</v>
      </c>
      <c r="C127" s="42" t="s">
        <v>54</v>
      </c>
      <c r="D127" s="41" t="s">
        <v>1287</v>
      </c>
      <c r="E127" s="40" t="s">
        <v>1286</v>
      </c>
      <c r="F127" s="39" t="s">
        <v>551</v>
      </c>
      <c r="G127" s="38" t="s">
        <v>1285</v>
      </c>
    </row>
    <row r="128" spans="1:7" ht="33">
      <c r="A128" s="48" t="s">
        <v>1284</v>
      </c>
      <c r="B128" s="43" t="s">
        <v>1283</v>
      </c>
      <c r="C128" s="42" t="s">
        <v>54</v>
      </c>
      <c r="D128" s="41" t="s">
        <v>1282</v>
      </c>
      <c r="E128" s="40" t="s">
        <v>1281</v>
      </c>
      <c r="F128" s="39" t="s">
        <v>527</v>
      </c>
      <c r="G128" s="38" t="s">
        <v>1280</v>
      </c>
    </row>
    <row r="129" spans="1:7" ht="49.5">
      <c r="A129" s="48" t="s">
        <v>255</v>
      </c>
      <c r="B129" s="43" t="s">
        <v>1279</v>
      </c>
      <c r="C129" s="42" t="s">
        <v>54</v>
      </c>
      <c r="D129" s="41" t="s">
        <v>1278</v>
      </c>
      <c r="E129" s="40" t="s">
        <v>1277</v>
      </c>
      <c r="F129" s="39" t="s">
        <v>527</v>
      </c>
      <c r="G129" s="38" t="s">
        <v>1276</v>
      </c>
    </row>
    <row r="130" spans="1:7" ht="66">
      <c r="A130" s="49" t="s">
        <v>1275</v>
      </c>
      <c r="B130" s="43" t="s">
        <v>1274</v>
      </c>
      <c r="C130" s="42" t="s">
        <v>54</v>
      </c>
      <c r="D130" s="41" t="s">
        <v>1273</v>
      </c>
      <c r="E130" s="40" t="s">
        <v>1272</v>
      </c>
      <c r="F130" s="39" t="s">
        <v>527</v>
      </c>
      <c r="G130" s="38" t="s">
        <v>1271</v>
      </c>
    </row>
    <row r="131" spans="1:7" ht="49.5">
      <c r="A131" s="48" t="s">
        <v>1270</v>
      </c>
      <c r="B131" s="43" t="s">
        <v>1269</v>
      </c>
      <c r="C131" s="42" t="s">
        <v>54</v>
      </c>
      <c r="D131" s="41" t="s">
        <v>1268</v>
      </c>
      <c r="E131" s="40" t="s">
        <v>1267</v>
      </c>
      <c r="F131" s="39" t="s">
        <v>527</v>
      </c>
      <c r="G131" s="38" t="s">
        <v>1266</v>
      </c>
    </row>
    <row r="132" spans="1:7" ht="49.5">
      <c r="A132" s="48" t="s">
        <v>1265</v>
      </c>
      <c r="B132" s="43" t="s">
        <v>1264</v>
      </c>
      <c r="C132" s="42" t="s">
        <v>54</v>
      </c>
      <c r="D132" s="41" t="s">
        <v>1263</v>
      </c>
      <c r="E132" s="40" t="s">
        <v>1262</v>
      </c>
      <c r="F132" s="39" t="s">
        <v>527</v>
      </c>
      <c r="G132" s="38" t="s">
        <v>1261</v>
      </c>
    </row>
    <row r="133" spans="1:7" ht="66">
      <c r="A133" s="46" t="s">
        <v>247</v>
      </c>
      <c r="B133" s="43" t="s">
        <v>1260</v>
      </c>
      <c r="C133" s="42" t="s">
        <v>54</v>
      </c>
      <c r="D133" s="41" t="s">
        <v>1259</v>
      </c>
      <c r="E133" s="40" t="s">
        <v>1258</v>
      </c>
      <c r="F133" s="39" t="s">
        <v>763</v>
      </c>
      <c r="G133" s="38" t="s">
        <v>1257</v>
      </c>
    </row>
    <row r="134" spans="1:7" ht="33">
      <c r="A134" s="44" t="s">
        <v>1256</v>
      </c>
      <c r="B134" s="43" t="s">
        <v>1255</v>
      </c>
      <c r="C134" s="42" t="s">
        <v>54</v>
      </c>
      <c r="D134" s="41" t="s">
        <v>1254</v>
      </c>
      <c r="E134" s="40" t="s">
        <v>1253</v>
      </c>
      <c r="F134" s="39" t="s">
        <v>551</v>
      </c>
      <c r="G134" s="38" t="s">
        <v>1252</v>
      </c>
    </row>
    <row r="135" spans="1:7" ht="66">
      <c r="A135" s="44" t="s">
        <v>263</v>
      </c>
      <c r="B135" s="43" t="s">
        <v>1251</v>
      </c>
      <c r="C135" s="42" t="s">
        <v>54</v>
      </c>
      <c r="D135" s="41" t="s">
        <v>1250</v>
      </c>
      <c r="E135" s="40" t="s">
        <v>1249</v>
      </c>
      <c r="F135" s="39" t="s">
        <v>527</v>
      </c>
      <c r="G135" s="38" t="s">
        <v>1248</v>
      </c>
    </row>
    <row r="136" spans="1:7" ht="49.5">
      <c r="A136" s="44" t="s">
        <v>257</v>
      </c>
      <c r="B136" s="43" t="s">
        <v>1247</v>
      </c>
      <c r="C136" s="42" t="s">
        <v>54</v>
      </c>
      <c r="D136" s="41" t="s">
        <v>1246</v>
      </c>
      <c r="E136" s="40" t="s">
        <v>1245</v>
      </c>
      <c r="F136" s="39" t="s">
        <v>527</v>
      </c>
      <c r="G136" s="38" t="s">
        <v>1244</v>
      </c>
    </row>
    <row r="137" spans="1:7" ht="49.5">
      <c r="A137" s="44" t="s">
        <v>1243</v>
      </c>
      <c r="B137" s="43" t="s">
        <v>1242</v>
      </c>
      <c r="C137" s="42" t="s">
        <v>54</v>
      </c>
      <c r="D137" s="41" t="s">
        <v>1241</v>
      </c>
      <c r="E137" s="40" t="s">
        <v>1240</v>
      </c>
      <c r="F137" s="39" t="s">
        <v>527</v>
      </c>
      <c r="G137" s="38" t="s">
        <v>1239</v>
      </c>
    </row>
    <row r="138" spans="1:7" ht="33">
      <c r="A138" s="44" t="s">
        <v>1238</v>
      </c>
      <c r="B138" s="43" t="s">
        <v>1237</v>
      </c>
      <c r="C138" s="42" t="s">
        <v>54</v>
      </c>
      <c r="D138" s="41" t="s">
        <v>1236</v>
      </c>
      <c r="E138" s="40" t="s">
        <v>1235</v>
      </c>
      <c r="F138" s="39" t="s">
        <v>527</v>
      </c>
      <c r="G138" s="38" t="s">
        <v>1234</v>
      </c>
    </row>
    <row r="139" spans="1:7" ht="49.5">
      <c r="A139" s="44" t="s">
        <v>1233</v>
      </c>
      <c r="B139" s="43" t="s">
        <v>1232</v>
      </c>
      <c r="C139" s="42" t="s">
        <v>54</v>
      </c>
      <c r="D139" s="41" t="s">
        <v>1231</v>
      </c>
      <c r="E139" s="40" t="s">
        <v>1230</v>
      </c>
      <c r="F139" s="39" t="s">
        <v>527</v>
      </c>
      <c r="G139" s="38" t="s">
        <v>1229</v>
      </c>
    </row>
    <row r="140" spans="1:7" ht="33">
      <c r="A140" s="44" t="s">
        <v>261</v>
      </c>
      <c r="B140" s="43" t="s">
        <v>1228</v>
      </c>
      <c r="C140" s="42" t="s">
        <v>54</v>
      </c>
      <c r="D140" s="41" t="s">
        <v>1227</v>
      </c>
      <c r="E140" s="40" t="s">
        <v>1226</v>
      </c>
      <c r="F140" s="39" t="s">
        <v>527</v>
      </c>
      <c r="G140" s="38" t="s">
        <v>1225</v>
      </c>
    </row>
    <row r="141" spans="1:7" ht="49.5">
      <c r="A141" s="44" t="s">
        <v>1224</v>
      </c>
      <c r="B141" s="43" t="s">
        <v>1223</v>
      </c>
      <c r="C141" s="42" t="s">
        <v>54</v>
      </c>
      <c r="D141" s="41" t="s">
        <v>1222</v>
      </c>
      <c r="E141" s="40" t="s">
        <v>1221</v>
      </c>
      <c r="F141" s="39" t="s">
        <v>527</v>
      </c>
      <c r="G141" s="38" t="s">
        <v>1220</v>
      </c>
    </row>
    <row r="142" spans="1:7" ht="49.5">
      <c r="A142" s="44" t="s">
        <v>1219</v>
      </c>
      <c r="B142" s="43" t="s">
        <v>1218</v>
      </c>
      <c r="C142" s="42" t="s">
        <v>54</v>
      </c>
      <c r="D142" s="41" t="s">
        <v>1217</v>
      </c>
      <c r="E142" s="40" t="s">
        <v>1216</v>
      </c>
      <c r="F142" s="39" t="s">
        <v>527</v>
      </c>
      <c r="G142" s="38" t="s">
        <v>1215</v>
      </c>
    </row>
    <row r="143" spans="1:7" ht="49.5">
      <c r="A143" s="44" t="s">
        <v>1214</v>
      </c>
      <c r="B143" s="43" t="s">
        <v>1213</v>
      </c>
      <c r="C143" s="42" t="s">
        <v>54</v>
      </c>
      <c r="D143" s="41" t="s">
        <v>1212</v>
      </c>
      <c r="E143" s="40" t="s">
        <v>1211</v>
      </c>
      <c r="F143" s="39" t="s">
        <v>527</v>
      </c>
      <c r="G143" s="38" t="s">
        <v>1210</v>
      </c>
    </row>
    <row r="144" spans="1:7" ht="49.5">
      <c r="A144" s="44" t="s">
        <v>382</v>
      </c>
      <c r="B144" s="43" t="s">
        <v>1209</v>
      </c>
      <c r="C144" s="42" t="s">
        <v>54</v>
      </c>
      <c r="D144" s="41" t="s">
        <v>1208</v>
      </c>
      <c r="E144" s="40" t="s">
        <v>1207</v>
      </c>
      <c r="F144" s="39" t="s">
        <v>527</v>
      </c>
      <c r="G144" s="38" t="s">
        <v>1206</v>
      </c>
    </row>
    <row r="145" spans="1:7" ht="33">
      <c r="A145" s="44" t="s">
        <v>253</v>
      </c>
      <c r="B145" s="43" t="s">
        <v>1205</v>
      </c>
      <c r="C145" s="42" t="s">
        <v>54</v>
      </c>
      <c r="D145" s="41" t="s">
        <v>1204</v>
      </c>
      <c r="E145" s="40" t="s">
        <v>1203</v>
      </c>
      <c r="F145" s="39" t="s">
        <v>527</v>
      </c>
      <c r="G145" s="38" t="s">
        <v>1202</v>
      </c>
    </row>
    <row r="146" spans="1:7" ht="33">
      <c r="A146" s="44" t="s">
        <v>1201</v>
      </c>
      <c r="B146" s="43" t="s">
        <v>1200</v>
      </c>
      <c r="C146" s="42" t="s">
        <v>54</v>
      </c>
      <c r="D146" s="41" t="s">
        <v>1199</v>
      </c>
      <c r="E146" s="40" t="s">
        <v>1198</v>
      </c>
      <c r="F146" s="39" t="s">
        <v>527</v>
      </c>
      <c r="G146" s="38" t="s">
        <v>1197</v>
      </c>
    </row>
    <row r="147" spans="1:7" ht="66">
      <c r="A147" s="46" t="s">
        <v>1196</v>
      </c>
      <c r="B147" s="43" t="s">
        <v>1195</v>
      </c>
      <c r="C147" s="42" t="s">
        <v>54</v>
      </c>
      <c r="D147" s="41" t="s">
        <v>1194</v>
      </c>
      <c r="E147" s="40" t="s">
        <v>1193</v>
      </c>
      <c r="F147" s="39" t="s">
        <v>527</v>
      </c>
      <c r="G147" s="38" t="s">
        <v>1192</v>
      </c>
    </row>
    <row r="148" spans="1:7" ht="33">
      <c r="A148" s="44" t="s">
        <v>1191</v>
      </c>
      <c r="B148" s="43" t="s">
        <v>1190</v>
      </c>
      <c r="C148" s="42" t="s">
        <v>54</v>
      </c>
      <c r="D148" s="41" t="s">
        <v>1189</v>
      </c>
      <c r="E148" s="40" t="s">
        <v>1188</v>
      </c>
      <c r="F148" s="39" t="s">
        <v>527</v>
      </c>
      <c r="G148" s="38" t="s">
        <v>1187</v>
      </c>
    </row>
    <row r="149" spans="1:7" ht="33">
      <c r="A149" s="44" t="s">
        <v>1186</v>
      </c>
      <c r="B149" s="43" t="s">
        <v>1185</v>
      </c>
      <c r="C149" s="42" t="s">
        <v>54</v>
      </c>
      <c r="D149" s="41" t="s">
        <v>1180</v>
      </c>
      <c r="E149" s="40" t="s">
        <v>1184</v>
      </c>
      <c r="F149" s="39" t="s">
        <v>527</v>
      </c>
      <c r="G149" s="38" t="s">
        <v>1183</v>
      </c>
    </row>
    <row r="150" spans="1:7" ht="49.5">
      <c r="A150" s="44" t="s">
        <v>1182</v>
      </c>
      <c r="B150" s="43" t="s">
        <v>1181</v>
      </c>
      <c r="C150" s="42" t="s">
        <v>54</v>
      </c>
      <c r="D150" s="41" t="s">
        <v>1180</v>
      </c>
      <c r="E150" s="40" t="s">
        <v>1179</v>
      </c>
      <c r="F150" s="39" t="s">
        <v>527</v>
      </c>
      <c r="G150" s="38" t="s">
        <v>1178</v>
      </c>
    </row>
    <row r="151" spans="1:7" ht="66">
      <c r="A151" s="46" t="s">
        <v>1177</v>
      </c>
      <c r="B151" s="43" t="s">
        <v>1176</v>
      </c>
      <c r="C151" s="42" t="s">
        <v>54</v>
      </c>
      <c r="D151" s="41" t="s">
        <v>1175</v>
      </c>
      <c r="E151" s="40" t="s">
        <v>1174</v>
      </c>
      <c r="F151" s="39" t="s">
        <v>527</v>
      </c>
      <c r="G151" s="38" t="s">
        <v>1173</v>
      </c>
    </row>
    <row r="152" spans="1:7" ht="33">
      <c r="A152" s="44" t="s">
        <v>380</v>
      </c>
      <c r="B152" s="43" t="s">
        <v>1172</v>
      </c>
      <c r="C152" s="42" t="s">
        <v>54</v>
      </c>
      <c r="D152" s="41" t="s">
        <v>1171</v>
      </c>
      <c r="E152" s="40" t="s">
        <v>1170</v>
      </c>
      <c r="F152" s="39" t="s">
        <v>527</v>
      </c>
      <c r="G152" s="38" t="s">
        <v>1169</v>
      </c>
    </row>
    <row r="153" spans="1:7" ht="66">
      <c r="A153" s="44" t="s">
        <v>1168</v>
      </c>
      <c r="B153" s="43" t="s">
        <v>1167</v>
      </c>
      <c r="C153" s="42" t="s">
        <v>54</v>
      </c>
      <c r="D153" s="41" t="s">
        <v>1166</v>
      </c>
      <c r="E153" s="40" t="s">
        <v>1165</v>
      </c>
      <c r="F153" s="39" t="s">
        <v>527</v>
      </c>
      <c r="G153" s="38" t="s">
        <v>1164</v>
      </c>
    </row>
    <row r="154" spans="1:7" ht="49.5">
      <c r="A154" s="48" t="s">
        <v>25</v>
      </c>
      <c r="B154" s="43" t="s">
        <v>1163</v>
      </c>
      <c r="C154" s="47" t="s">
        <v>1027</v>
      </c>
      <c r="D154" s="41" t="s">
        <v>1162</v>
      </c>
      <c r="E154" s="40" t="s">
        <v>1161</v>
      </c>
      <c r="F154" s="39" t="s">
        <v>1160</v>
      </c>
      <c r="G154" s="38" t="s">
        <v>1159</v>
      </c>
    </row>
    <row r="155" spans="1:7" ht="49.5">
      <c r="A155" s="48" t="s">
        <v>26</v>
      </c>
      <c r="B155" s="43" t="s">
        <v>1158</v>
      </c>
      <c r="C155" s="47" t="s">
        <v>1027</v>
      </c>
      <c r="D155" s="41" t="s">
        <v>1157</v>
      </c>
      <c r="E155" s="40" t="s">
        <v>1156</v>
      </c>
      <c r="F155" s="39" t="s">
        <v>1151</v>
      </c>
      <c r="G155" s="38" t="s">
        <v>1155</v>
      </c>
    </row>
    <row r="156" spans="1:7" ht="49.5">
      <c r="A156" s="48" t="s">
        <v>27</v>
      </c>
      <c r="B156" s="43" t="s">
        <v>1154</v>
      </c>
      <c r="C156" s="47" t="s">
        <v>1027</v>
      </c>
      <c r="D156" s="41" t="s">
        <v>1153</v>
      </c>
      <c r="E156" s="40" t="s">
        <v>1152</v>
      </c>
      <c r="F156" s="39" t="s">
        <v>1151</v>
      </c>
      <c r="G156" s="38" t="s">
        <v>1150</v>
      </c>
    </row>
    <row r="157" spans="1:7" ht="49.5">
      <c r="A157" s="48" t="s">
        <v>225</v>
      </c>
      <c r="B157" s="43" t="s">
        <v>1149</v>
      </c>
      <c r="C157" s="47" t="s">
        <v>1027</v>
      </c>
      <c r="D157" s="41" t="s">
        <v>1148</v>
      </c>
      <c r="E157" s="40" t="s">
        <v>1147</v>
      </c>
      <c r="F157" s="39" t="s">
        <v>551</v>
      </c>
      <c r="G157" s="38" t="s">
        <v>1146</v>
      </c>
    </row>
    <row r="158" spans="1:7" ht="49.5">
      <c r="A158" s="48" t="s">
        <v>231</v>
      </c>
      <c r="B158" s="43" t="s">
        <v>1145</v>
      </c>
      <c r="C158" s="47" t="s">
        <v>1027</v>
      </c>
      <c r="D158" s="41" t="s">
        <v>1144</v>
      </c>
      <c r="E158" s="40" t="s">
        <v>1143</v>
      </c>
      <c r="F158" s="39" t="s">
        <v>551</v>
      </c>
      <c r="G158" s="38" t="s">
        <v>1142</v>
      </c>
    </row>
    <row r="159" spans="1:7" ht="49.5">
      <c r="A159" s="48" t="s">
        <v>229</v>
      </c>
      <c r="B159" s="43" t="s">
        <v>1141</v>
      </c>
      <c r="C159" s="47" t="s">
        <v>1027</v>
      </c>
      <c r="D159" s="41" t="s">
        <v>1140</v>
      </c>
      <c r="E159" s="40" t="s">
        <v>1139</v>
      </c>
      <c r="F159" s="39" t="s">
        <v>527</v>
      </c>
      <c r="G159" s="38" t="s">
        <v>1138</v>
      </c>
    </row>
    <row r="160" spans="1:7" ht="49.5">
      <c r="A160" s="48" t="s">
        <v>1137</v>
      </c>
      <c r="B160" s="43" t="s">
        <v>1136</v>
      </c>
      <c r="C160" s="47" t="s">
        <v>1027</v>
      </c>
      <c r="D160" s="41" t="s">
        <v>1135</v>
      </c>
      <c r="E160" s="40" t="s">
        <v>1134</v>
      </c>
      <c r="F160" s="39" t="s">
        <v>527</v>
      </c>
      <c r="G160" s="38" t="s">
        <v>1133</v>
      </c>
    </row>
    <row r="161" spans="1:7" ht="49.5">
      <c r="A161" s="48" t="s">
        <v>223</v>
      </c>
      <c r="B161" s="43" t="s">
        <v>1132</v>
      </c>
      <c r="C161" s="47" t="s">
        <v>1027</v>
      </c>
      <c r="D161" s="41" t="s">
        <v>1131</v>
      </c>
      <c r="E161" s="40" t="s">
        <v>1130</v>
      </c>
      <c r="F161" s="39" t="s">
        <v>527</v>
      </c>
      <c r="G161" s="38" t="s">
        <v>1129</v>
      </c>
    </row>
    <row r="162" spans="1:7" ht="49.5">
      <c r="A162" s="48" t="s">
        <v>376</v>
      </c>
      <c r="B162" s="43" t="s">
        <v>1128</v>
      </c>
      <c r="C162" s="47" t="s">
        <v>1027</v>
      </c>
      <c r="D162" s="41" t="s">
        <v>1127</v>
      </c>
      <c r="E162" s="40" t="s">
        <v>1126</v>
      </c>
      <c r="F162" s="39" t="s">
        <v>527</v>
      </c>
      <c r="G162" s="38" t="s">
        <v>1125</v>
      </c>
    </row>
    <row r="163" spans="1:7" ht="49.5">
      <c r="A163" s="48" t="s">
        <v>1124</v>
      </c>
      <c r="B163" s="43" t="s">
        <v>1123</v>
      </c>
      <c r="C163" s="47" t="s">
        <v>1027</v>
      </c>
      <c r="D163" s="41" t="s">
        <v>1122</v>
      </c>
      <c r="E163" s="40" t="s">
        <v>1121</v>
      </c>
      <c r="F163" s="39" t="s">
        <v>527</v>
      </c>
      <c r="G163" s="38" t="s">
        <v>1120</v>
      </c>
    </row>
    <row r="164" spans="1:7" ht="49.5">
      <c r="A164" s="48" t="s">
        <v>227</v>
      </c>
      <c r="B164" s="43" t="s">
        <v>1119</v>
      </c>
      <c r="C164" s="47" t="s">
        <v>1027</v>
      </c>
      <c r="D164" s="41" t="s">
        <v>1118</v>
      </c>
      <c r="E164" s="40" t="s">
        <v>1117</v>
      </c>
      <c r="F164" s="39" t="s">
        <v>551</v>
      </c>
      <c r="G164" s="38" t="s">
        <v>1116</v>
      </c>
    </row>
    <row r="165" spans="1:7" ht="49.5">
      <c r="A165" s="48" t="s">
        <v>378</v>
      </c>
      <c r="B165" s="43" t="s">
        <v>1115</v>
      </c>
      <c r="C165" s="47" t="s">
        <v>1104</v>
      </c>
      <c r="D165" s="41" t="s">
        <v>1114</v>
      </c>
      <c r="E165" s="40" t="s">
        <v>1113</v>
      </c>
      <c r="F165" s="39" t="s">
        <v>551</v>
      </c>
      <c r="G165" s="38" t="s">
        <v>1112</v>
      </c>
    </row>
    <row r="166" spans="1:7" ht="49.5">
      <c r="A166" s="48" t="s">
        <v>1111</v>
      </c>
      <c r="B166" s="43" t="s">
        <v>1110</v>
      </c>
      <c r="C166" s="47" t="s">
        <v>1104</v>
      </c>
      <c r="D166" s="41" t="s">
        <v>1109</v>
      </c>
      <c r="E166" s="40" t="s">
        <v>1108</v>
      </c>
      <c r="F166" s="39" t="s">
        <v>551</v>
      </c>
      <c r="G166" s="38" t="s">
        <v>1107</v>
      </c>
    </row>
    <row r="167" spans="1:7" ht="49.5">
      <c r="A167" s="48" t="s">
        <v>1106</v>
      </c>
      <c r="B167" s="43" t="s">
        <v>1105</v>
      </c>
      <c r="C167" s="47" t="s">
        <v>1104</v>
      </c>
      <c r="D167" s="41" t="s">
        <v>1103</v>
      </c>
      <c r="E167" s="40" t="s">
        <v>1102</v>
      </c>
      <c r="F167" s="39" t="s">
        <v>527</v>
      </c>
      <c r="G167" s="38" t="s">
        <v>1101</v>
      </c>
    </row>
    <row r="168" spans="1:7" ht="66">
      <c r="A168" s="49" t="s">
        <v>1100</v>
      </c>
      <c r="B168" s="43" t="s">
        <v>1099</v>
      </c>
      <c r="C168" s="47" t="s">
        <v>1027</v>
      </c>
      <c r="D168" s="41" t="s">
        <v>1098</v>
      </c>
      <c r="E168" s="40" t="s">
        <v>1097</v>
      </c>
      <c r="F168" s="39" t="s">
        <v>527</v>
      </c>
      <c r="G168" s="38" t="s">
        <v>1096</v>
      </c>
    </row>
    <row r="169" spans="1:7" ht="66">
      <c r="A169" s="48" t="s">
        <v>233</v>
      </c>
      <c r="B169" s="43" t="s">
        <v>1095</v>
      </c>
      <c r="C169" s="47" t="s">
        <v>1027</v>
      </c>
      <c r="D169" s="41" t="s">
        <v>1094</v>
      </c>
      <c r="E169" s="40" t="s">
        <v>1093</v>
      </c>
      <c r="F169" s="39" t="s">
        <v>551</v>
      </c>
      <c r="G169" s="38" t="s">
        <v>1092</v>
      </c>
    </row>
    <row r="170" spans="1:7" ht="66">
      <c r="A170" s="48" t="s">
        <v>235</v>
      </c>
      <c r="B170" s="43" t="s">
        <v>1091</v>
      </c>
      <c r="C170" s="47" t="s">
        <v>1027</v>
      </c>
      <c r="D170" s="41" t="s">
        <v>810</v>
      </c>
      <c r="E170" s="40" t="s">
        <v>1090</v>
      </c>
      <c r="F170" s="39" t="s">
        <v>527</v>
      </c>
      <c r="G170" s="38" t="s">
        <v>1089</v>
      </c>
    </row>
    <row r="171" spans="1:7" ht="49.5">
      <c r="A171" s="48" t="s">
        <v>221</v>
      </c>
      <c r="B171" s="43" t="s">
        <v>1088</v>
      </c>
      <c r="C171" s="47" t="s">
        <v>1027</v>
      </c>
      <c r="D171" s="41" t="s">
        <v>1087</v>
      </c>
      <c r="E171" s="40" t="s">
        <v>1086</v>
      </c>
      <c r="F171" s="39" t="s">
        <v>551</v>
      </c>
      <c r="G171" s="38" t="s">
        <v>1085</v>
      </c>
    </row>
    <row r="172" spans="1:7" ht="49.5">
      <c r="A172" s="48" t="s">
        <v>1084</v>
      </c>
      <c r="B172" s="43" t="s">
        <v>1083</v>
      </c>
      <c r="C172" s="47" t="s">
        <v>1027</v>
      </c>
      <c r="D172" s="41" t="s">
        <v>1082</v>
      </c>
      <c r="E172" s="40" t="s">
        <v>1081</v>
      </c>
      <c r="F172" s="39" t="s">
        <v>527</v>
      </c>
      <c r="G172" s="38" t="s">
        <v>1080</v>
      </c>
    </row>
    <row r="173" spans="1:7" ht="49.5">
      <c r="A173" s="44" t="s">
        <v>1079</v>
      </c>
      <c r="B173" s="43" t="s">
        <v>1078</v>
      </c>
      <c r="C173" s="47" t="s">
        <v>1027</v>
      </c>
      <c r="D173" s="41" t="s">
        <v>1077</v>
      </c>
      <c r="E173" s="40" t="s">
        <v>1076</v>
      </c>
      <c r="F173" s="39" t="s">
        <v>527</v>
      </c>
      <c r="G173" s="38" t="s">
        <v>1075</v>
      </c>
    </row>
    <row r="174" spans="1:7" ht="49.5">
      <c r="A174" s="44" t="s">
        <v>1074</v>
      </c>
      <c r="B174" s="43" t="s">
        <v>1073</v>
      </c>
      <c r="C174" s="47" t="s">
        <v>1027</v>
      </c>
      <c r="D174" s="41" t="s">
        <v>1072</v>
      </c>
      <c r="E174" s="40" t="s">
        <v>1071</v>
      </c>
      <c r="F174" s="39" t="s">
        <v>697</v>
      </c>
      <c r="G174" s="38" t="s">
        <v>1070</v>
      </c>
    </row>
    <row r="175" spans="1:7" ht="49.5">
      <c r="A175" s="45" t="s">
        <v>1069</v>
      </c>
      <c r="B175" s="43" t="s">
        <v>1068</v>
      </c>
      <c r="C175" s="47" t="s">
        <v>1027</v>
      </c>
      <c r="D175" s="41" t="s">
        <v>1067</v>
      </c>
      <c r="E175" s="40" t="s">
        <v>1066</v>
      </c>
      <c r="F175" s="39" t="s">
        <v>527</v>
      </c>
      <c r="G175" s="38" t="s">
        <v>1065</v>
      </c>
    </row>
    <row r="176" spans="1:7" ht="49.5">
      <c r="A176" s="45" t="s">
        <v>1064</v>
      </c>
      <c r="B176" s="43" t="s">
        <v>1063</v>
      </c>
      <c r="C176" s="47" t="s">
        <v>1027</v>
      </c>
      <c r="D176" s="41" t="s">
        <v>1062</v>
      </c>
      <c r="E176" s="40" t="s">
        <v>1061</v>
      </c>
      <c r="F176" s="39" t="s">
        <v>527</v>
      </c>
      <c r="G176" s="38" t="s">
        <v>1060</v>
      </c>
    </row>
    <row r="177" spans="1:7" ht="49.5">
      <c r="A177" s="45" t="s">
        <v>1059</v>
      </c>
      <c r="B177" s="43" t="s">
        <v>1058</v>
      </c>
      <c r="C177" s="47" t="s">
        <v>1027</v>
      </c>
      <c r="D177" s="41" t="s">
        <v>1057</v>
      </c>
      <c r="E177" s="40" t="s">
        <v>1056</v>
      </c>
      <c r="F177" s="39" t="s">
        <v>527</v>
      </c>
      <c r="G177" s="38" t="s">
        <v>1055</v>
      </c>
    </row>
    <row r="178" spans="1:7" ht="49.5">
      <c r="A178" s="44" t="s">
        <v>1054</v>
      </c>
      <c r="B178" s="43" t="s">
        <v>1053</v>
      </c>
      <c r="C178" s="47" t="s">
        <v>1027</v>
      </c>
      <c r="D178" s="41" t="s">
        <v>1052</v>
      </c>
      <c r="E178" s="40" t="s">
        <v>1051</v>
      </c>
      <c r="F178" s="39" t="s">
        <v>697</v>
      </c>
      <c r="G178" s="38" t="s">
        <v>1050</v>
      </c>
    </row>
    <row r="179" spans="1:7" ht="49.5">
      <c r="A179" s="44" t="s">
        <v>1049</v>
      </c>
      <c r="B179" s="43" t="s">
        <v>1048</v>
      </c>
      <c r="C179" s="47" t="s">
        <v>1027</v>
      </c>
      <c r="D179" s="41" t="s">
        <v>1047</v>
      </c>
      <c r="E179" s="40" t="s">
        <v>1046</v>
      </c>
      <c r="F179" s="39" t="s">
        <v>697</v>
      </c>
      <c r="G179" s="38" t="s">
        <v>1045</v>
      </c>
    </row>
    <row r="180" spans="1:7" ht="49.5">
      <c r="A180" s="44" t="s">
        <v>1044</v>
      </c>
      <c r="B180" s="43" t="s">
        <v>1043</v>
      </c>
      <c r="C180" s="47" t="s">
        <v>1027</v>
      </c>
      <c r="D180" s="41" t="s">
        <v>1042</v>
      </c>
      <c r="E180" s="40" t="s">
        <v>1041</v>
      </c>
      <c r="F180" s="39" t="s">
        <v>551</v>
      </c>
      <c r="G180" s="38" t="s">
        <v>1040</v>
      </c>
    </row>
    <row r="181" spans="1:7" ht="49.5">
      <c r="A181" s="44" t="s">
        <v>1039</v>
      </c>
      <c r="B181" s="43" t="s">
        <v>1038</v>
      </c>
      <c r="C181" s="47" t="s">
        <v>1027</v>
      </c>
      <c r="D181" s="41" t="s">
        <v>1037</v>
      </c>
      <c r="E181" s="40" t="s">
        <v>1036</v>
      </c>
      <c r="F181" s="39" t="s">
        <v>697</v>
      </c>
      <c r="G181" s="38" t="s">
        <v>1035</v>
      </c>
    </row>
    <row r="182" spans="1:7" ht="49.5">
      <c r="A182" s="44" t="s">
        <v>1034</v>
      </c>
      <c r="B182" s="43" t="s">
        <v>1033</v>
      </c>
      <c r="C182" s="47" t="s">
        <v>1027</v>
      </c>
      <c r="D182" s="41" t="s">
        <v>1032</v>
      </c>
      <c r="E182" s="40" t="s">
        <v>1031</v>
      </c>
      <c r="F182" s="39" t="s">
        <v>697</v>
      </c>
      <c r="G182" s="38" t="s">
        <v>1030</v>
      </c>
    </row>
    <row r="183" spans="1:7" ht="49.5">
      <c r="A183" s="44" t="s">
        <v>1029</v>
      </c>
      <c r="B183" s="43" t="s">
        <v>1028</v>
      </c>
      <c r="C183" s="47" t="s">
        <v>1027</v>
      </c>
      <c r="D183" s="41" t="s">
        <v>1026</v>
      </c>
      <c r="E183" s="40" t="s">
        <v>1025</v>
      </c>
      <c r="F183" s="39" t="s">
        <v>697</v>
      </c>
      <c r="G183" s="38" t="s">
        <v>1024</v>
      </c>
    </row>
    <row r="184" spans="1:7" ht="49.5">
      <c r="A184" s="44" t="s">
        <v>35</v>
      </c>
      <c r="B184" s="43" t="s">
        <v>1023</v>
      </c>
      <c r="C184" s="42" t="s">
        <v>891</v>
      </c>
      <c r="D184" s="41" t="s">
        <v>1022</v>
      </c>
      <c r="E184" s="40" t="s">
        <v>1021</v>
      </c>
      <c r="F184" s="39" t="s">
        <v>636</v>
      </c>
      <c r="G184" s="38" t="s">
        <v>1020</v>
      </c>
    </row>
    <row r="185" spans="1:7" ht="49.5">
      <c r="A185" s="44" t="s">
        <v>34</v>
      </c>
      <c r="B185" s="43" t="s">
        <v>1019</v>
      </c>
      <c r="C185" s="42" t="s">
        <v>891</v>
      </c>
      <c r="D185" s="41" t="s">
        <v>1018</v>
      </c>
      <c r="E185" s="40" t="s">
        <v>1017</v>
      </c>
      <c r="F185" s="39" t="s">
        <v>631</v>
      </c>
      <c r="G185" s="38" t="s">
        <v>1016</v>
      </c>
    </row>
    <row r="186" spans="1:7" ht="66">
      <c r="A186" s="44" t="s">
        <v>36</v>
      </c>
      <c r="B186" s="43" t="s">
        <v>1015</v>
      </c>
      <c r="C186" s="42" t="s">
        <v>891</v>
      </c>
      <c r="D186" s="41" t="s">
        <v>1014</v>
      </c>
      <c r="E186" s="40" t="s">
        <v>1013</v>
      </c>
      <c r="F186" s="39" t="s">
        <v>1012</v>
      </c>
      <c r="G186" s="38" t="s">
        <v>1011</v>
      </c>
    </row>
    <row r="187" spans="1:7" ht="49.5">
      <c r="A187" s="44" t="s">
        <v>1010</v>
      </c>
      <c r="B187" s="43" t="s">
        <v>1009</v>
      </c>
      <c r="C187" s="42" t="s">
        <v>891</v>
      </c>
      <c r="D187" s="41" t="s">
        <v>1008</v>
      </c>
      <c r="E187" s="40" t="s">
        <v>1007</v>
      </c>
      <c r="F187" s="39" t="s">
        <v>551</v>
      </c>
      <c r="G187" s="38" t="s">
        <v>1006</v>
      </c>
    </row>
    <row r="188" spans="1:7" ht="49.5">
      <c r="A188" s="44" t="s">
        <v>304</v>
      </c>
      <c r="B188" s="43" t="s">
        <v>1005</v>
      </c>
      <c r="C188" s="42" t="s">
        <v>891</v>
      </c>
      <c r="D188" s="41" t="s">
        <v>1004</v>
      </c>
      <c r="E188" s="40" t="s">
        <v>1003</v>
      </c>
      <c r="F188" s="39" t="s">
        <v>551</v>
      </c>
      <c r="G188" s="38" t="s">
        <v>1002</v>
      </c>
    </row>
    <row r="189" spans="1:7" ht="49.5">
      <c r="A189" s="44" t="s">
        <v>1001</v>
      </c>
      <c r="B189" s="43" t="s">
        <v>1000</v>
      </c>
      <c r="C189" s="42" t="s">
        <v>891</v>
      </c>
      <c r="D189" s="41" t="s">
        <v>999</v>
      </c>
      <c r="E189" s="40" t="s">
        <v>998</v>
      </c>
      <c r="F189" s="39" t="s">
        <v>551</v>
      </c>
      <c r="G189" s="38" t="s">
        <v>997</v>
      </c>
    </row>
    <row r="190" spans="1:7" ht="49.5">
      <c r="A190" s="44" t="s">
        <v>308</v>
      </c>
      <c r="B190" s="43" t="s">
        <v>996</v>
      </c>
      <c r="C190" s="42" t="s">
        <v>891</v>
      </c>
      <c r="D190" s="41" t="s">
        <v>995</v>
      </c>
      <c r="E190" s="40" t="s">
        <v>994</v>
      </c>
      <c r="F190" s="39" t="s">
        <v>551</v>
      </c>
      <c r="G190" s="38" t="s">
        <v>993</v>
      </c>
    </row>
    <row r="191" spans="1:7" ht="66">
      <c r="A191" s="44" t="s">
        <v>992</v>
      </c>
      <c r="B191" s="43" t="s">
        <v>991</v>
      </c>
      <c r="C191" s="42" t="s">
        <v>891</v>
      </c>
      <c r="D191" s="41" t="s">
        <v>990</v>
      </c>
      <c r="E191" s="40" t="s">
        <v>989</v>
      </c>
      <c r="F191" s="39" t="s">
        <v>551</v>
      </c>
      <c r="G191" s="38" t="s">
        <v>988</v>
      </c>
    </row>
    <row r="192" spans="1:7" ht="38.25">
      <c r="A192" s="44" t="s">
        <v>310</v>
      </c>
      <c r="B192" s="43" t="s">
        <v>987</v>
      </c>
      <c r="C192" s="42" t="s">
        <v>891</v>
      </c>
      <c r="D192" s="41" t="s">
        <v>986</v>
      </c>
      <c r="E192" s="40" t="s">
        <v>985</v>
      </c>
      <c r="F192" s="39" t="s">
        <v>527</v>
      </c>
      <c r="G192" s="38" t="s">
        <v>984</v>
      </c>
    </row>
    <row r="193" spans="1:7" ht="49.5">
      <c r="A193" s="44" t="s">
        <v>983</v>
      </c>
      <c r="B193" s="43" t="s">
        <v>982</v>
      </c>
      <c r="C193" s="42" t="s">
        <v>891</v>
      </c>
      <c r="D193" s="41" t="s">
        <v>981</v>
      </c>
      <c r="E193" s="40" t="s">
        <v>980</v>
      </c>
      <c r="F193" s="39" t="s">
        <v>527</v>
      </c>
      <c r="G193" s="38" t="s">
        <v>979</v>
      </c>
    </row>
    <row r="194" spans="1:7" ht="38.25">
      <c r="A194" s="44" t="s">
        <v>978</v>
      </c>
      <c r="B194" s="43" t="s">
        <v>977</v>
      </c>
      <c r="C194" s="42" t="s">
        <v>891</v>
      </c>
      <c r="D194" s="41" t="s">
        <v>976</v>
      </c>
      <c r="E194" s="40" t="s">
        <v>975</v>
      </c>
      <c r="F194" s="39" t="s">
        <v>527</v>
      </c>
      <c r="G194" s="38" t="s">
        <v>974</v>
      </c>
    </row>
    <row r="195" spans="1:7" ht="49.5">
      <c r="A195" s="44" t="s">
        <v>283</v>
      </c>
      <c r="B195" s="43" t="s">
        <v>973</v>
      </c>
      <c r="C195" s="42" t="s">
        <v>891</v>
      </c>
      <c r="D195" s="41" t="s">
        <v>972</v>
      </c>
      <c r="E195" s="40" t="s">
        <v>971</v>
      </c>
      <c r="F195" s="39" t="s">
        <v>527</v>
      </c>
      <c r="G195" s="38" t="s">
        <v>970</v>
      </c>
    </row>
    <row r="196" spans="1:7" ht="49.5">
      <c r="A196" s="44" t="s">
        <v>969</v>
      </c>
      <c r="B196" s="43" t="s">
        <v>968</v>
      </c>
      <c r="C196" s="42" t="s">
        <v>891</v>
      </c>
      <c r="D196" s="41" t="s">
        <v>967</v>
      </c>
      <c r="E196" s="40" t="s">
        <v>966</v>
      </c>
      <c r="F196" s="39" t="s">
        <v>527</v>
      </c>
      <c r="G196" s="38" t="s">
        <v>965</v>
      </c>
    </row>
    <row r="197" spans="1:7" ht="49.5">
      <c r="A197" s="44" t="s">
        <v>964</v>
      </c>
      <c r="B197" s="43" t="s">
        <v>963</v>
      </c>
      <c r="C197" s="42" t="s">
        <v>891</v>
      </c>
      <c r="D197" s="41" t="s">
        <v>962</v>
      </c>
      <c r="E197" s="40" t="s">
        <v>961</v>
      </c>
      <c r="F197" s="39" t="s">
        <v>527</v>
      </c>
      <c r="G197" s="38" t="s">
        <v>960</v>
      </c>
    </row>
    <row r="198" spans="1:7" ht="49.5">
      <c r="A198" s="44" t="s">
        <v>959</v>
      </c>
      <c r="B198" s="43" t="s">
        <v>958</v>
      </c>
      <c r="C198" s="42" t="s">
        <v>891</v>
      </c>
      <c r="D198" s="41" t="s">
        <v>957</v>
      </c>
      <c r="E198" s="40" t="s">
        <v>956</v>
      </c>
      <c r="F198" s="39" t="s">
        <v>527</v>
      </c>
      <c r="G198" s="38" t="s">
        <v>955</v>
      </c>
    </row>
    <row r="199" spans="1:7" ht="49.5">
      <c r="A199" s="44" t="s">
        <v>306</v>
      </c>
      <c r="B199" s="43" t="s">
        <v>954</v>
      </c>
      <c r="C199" s="42" t="s">
        <v>891</v>
      </c>
      <c r="D199" s="41" t="s">
        <v>953</v>
      </c>
      <c r="E199" s="40" t="s">
        <v>952</v>
      </c>
      <c r="F199" s="39" t="s">
        <v>763</v>
      </c>
      <c r="G199" s="38" t="s">
        <v>951</v>
      </c>
    </row>
    <row r="200" spans="1:7" ht="49.5">
      <c r="A200" s="44" t="s">
        <v>950</v>
      </c>
      <c r="B200" s="43" t="s">
        <v>949</v>
      </c>
      <c r="C200" s="42" t="s">
        <v>891</v>
      </c>
      <c r="D200" s="41" t="s">
        <v>948</v>
      </c>
      <c r="E200" s="40" t="s">
        <v>947</v>
      </c>
      <c r="F200" s="39" t="s">
        <v>763</v>
      </c>
      <c r="G200" s="38" t="s">
        <v>946</v>
      </c>
    </row>
    <row r="201" spans="1:7" ht="49.5">
      <c r="A201" s="44" t="s">
        <v>281</v>
      </c>
      <c r="B201" s="43" t="s">
        <v>945</v>
      </c>
      <c r="C201" s="42" t="s">
        <v>891</v>
      </c>
      <c r="D201" s="41" t="s">
        <v>944</v>
      </c>
      <c r="E201" s="40" t="s">
        <v>943</v>
      </c>
      <c r="F201" s="39" t="s">
        <v>697</v>
      </c>
      <c r="G201" s="38" t="s">
        <v>942</v>
      </c>
    </row>
    <row r="202" spans="1:7" ht="49.5">
      <c r="A202" s="44" t="s">
        <v>941</v>
      </c>
      <c r="B202" s="43" t="s">
        <v>940</v>
      </c>
      <c r="C202" s="42" t="s">
        <v>891</v>
      </c>
      <c r="D202" s="41" t="s">
        <v>939</v>
      </c>
      <c r="E202" s="40" t="s">
        <v>938</v>
      </c>
      <c r="F202" s="39" t="s">
        <v>937</v>
      </c>
      <c r="G202" s="38" t="s">
        <v>936</v>
      </c>
    </row>
    <row r="203" spans="1:7" ht="38.25">
      <c r="A203" s="44" t="s">
        <v>935</v>
      </c>
      <c r="B203" s="43" t="s">
        <v>934</v>
      </c>
      <c r="C203" s="42" t="s">
        <v>891</v>
      </c>
      <c r="D203" s="41" t="s">
        <v>933</v>
      </c>
      <c r="E203" s="40" t="s">
        <v>932</v>
      </c>
      <c r="F203" s="39" t="s">
        <v>697</v>
      </c>
      <c r="G203" s="38" t="s">
        <v>931</v>
      </c>
    </row>
    <row r="204" spans="1:7" ht="49.5">
      <c r="A204" s="44" t="s">
        <v>930</v>
      </c>
      <c r="B204" s="43" t="s">
        <v>929</v>
      </c>
      <c r="C204" s="42" t="s">
        <v>891</v>
      </c>
      <c r="D204" s="41" t="s">
        <v>928</v>
      </c>
      <c r="E204" s="40" t="s">
        <v>927</v>
      </c>
      <c r="F204" s="39" t="s">
        <v>697</v>
      </c>
      <c r="G204" s="38" t="s">
        <v>926</v>
      </c>
    </row>
    <row r="205" spans="1:7" ht="66">
      <c r="A205" s="44" t="s">
        <v>391</v>
      </c>
      <c r="B205" s="43" t="s">
        <v>925</v>
      </c>
      <c r="C205" s="42" t="s">
        <v>891</v>
      </c>
      <c r="D205" s="41" t="s">
        <v>924</v>
      </c>
      <c r="E205" s="40" t="s">
        <v>923</v>
      </c>
      <c r="F205" s="39" t="s">
        <v>697</v>
      </c>
      <c r="G205" s="38" t="s">
        <v>922</v>
      </c>
    </row>
    <row r="206" spans="1:7" ht="66">
      <c r="A206" s="44" t="s">
        <v>312</v>
      </c>
      <c r="B206" s="43" t="s">
        <v>921</v>
      </c>
      <c r="C206" s="42" t="s">
        <v>891</v>
      </c>
      <c r="D206" s="41" t="s">
        <v>920</v>
      </c>
      <c r="E206" s="40" t="s">
        <v>919</v>
      </c>
      <c r="F206" s="39" t="s">
        <v>697</v>
      </c>
      <c r="G206" s="38" t="s">
        <v>918</v>
      </c>
    </row>
    <row r="207" spans="1:7" ht="49.5">
      <c r="A207" s="44" t="s">
        <v>917</v>
      </c>
      <c r="B207" s="43" t="s">
        <v>916</v>
      </c>
      <c r="C207" s="42" t="s">
        <v>891</v>
      </c>
      <c r="D207" s="41" t="s">
        <v>915</v>
      </c>
      <c r="E207" s="40" t="s">
        <v>914</v>
      </c>
      <c r="F207" s="39" t="s">
        <v>697</v>
      </c>
      <c r="G207" s="38" t="s">
        <v>913</v>
      </c>
    </row>
    <row r="208" spans="1:7" ht="49.5">
      <c r="A208" s="44" t="s">
        <v>912</v>
      </c>
      <c r="B208" s="43" t="s">
        <v>911</v>
      </c>
      <c r="C208" s="42" t="s">
        <v>891</v>
      </c>
      <c r="D208" s="41" t="s">
        <v>910</v>
      </c>
      <c r="E208" s="40" t="s">
        <v>909</v>
      </c>
      <c r="F208" s="39" t="s">
        <v>697</v>
      </c>
      <c r="G208" s="38" t="s">
        <v>908</v>
      </c>
    </row>
    <row r="209" spans="1:7" ht="66">
      <c r="A209" s="44" t="s">
        <v>907</v>
      </c>
      <c r="B209" s="43" t="s">
        <v>906</v>
      </c>
      <c r="C209" s="42" t="s">
        <v>891</v>
      </c>
      <c r="D209" s="41" t="s">
        <v>905</v>
      </c>
      <c r="E209" s="40" t="s">
        <v>904</v>
      </c>
      <c r="F209" s="39" t="s">
        <v>697</v>
      </c>
      <c r="G209" s="38" t="s">
        <v>903</v>
      </c>
    </row>
    <row r="210" spans="1:7" ht="49.5">
      <c r="A210" s="44" t="s">
        <v>902</v>
      </c>
      <c r="B210" s="43" t="s">
        <v>901</v>
      </c>
      <c r="C210" s="42" t="s">
        <v>891</v>
      </c>
      <c r="D210" s="41" t="s">
        <v>900</v>
      </c>
      <c r="E210" s="40" t="s">
        <v>899</v>
      </c>
      <c r="F210" s="39" t="s">
        <v>697</v>
      </c>
      <c r="G210" s="38" t="s">
        <v>898</v>
      </c>
    </row>
    <row r="211" spans="1:7" ht="38.25">
      <c r="A211" s="44" t="s">
        <v>897</v>
      </c>
      <c r="B211" s="43" t="s">
        <v>896</v>
      </c>
      <c r="C211" s="42" t="s">
        <v>891</v>
      </c>
      <c r="D211" s="41" t="s">
        <v>810</v>
      </c>
      <c r="E211" s="40" t="s">
        <v>895</v>
      </c>
      <c r="F211" s="39" t="s">
        <v>697</v>
      </c>
      <c r="G211" s="38" t="s">
        <v>894</v>
      </c>
    </row>
    <row r="212" spans="1:7" ht="49.5">
      <c r="A212" s="44" t="s">
        <v>893</v>
      </c>
      <c r="B212" s="43" t="s">
        <v>892</v>
      </c>
      <c r="C212" s="42" t="s">
        <v>891</v>
      </c>
      <c r="D212" s="41" t="s">
        <v>890</v>
      </c>
      <c r="E212" s="40" t="s">
        <v>889</v>
      </c>
      <c r="F212" s="39" t="s">
        <v>527</v>
      </c>
      <c r="G212" s="38" t="s">
        <v>888</v>
      </c>
    </row>
    <row r="213" spans="1:7" ht="49.5">
      <c r="A213" s="44" t="s">
        <v>37</v>
      </c>
      <c r="B213" s="43" t="s">
        <v>887</v>
      </c>
      <c r="C213" s="42" t="s">
        <v>801</v>
      </c>
      <c r="D213" s="41" t="s">
        <v>886</v>
      </c>
      <c r="E213" s="40" t="s">
        <v>885</v>
      </c>
      <c r="F213" s="39" t="s">
        <v>636</v>
      </c>
      <c r="G213" s="38" t="s">
        <v>884</v>
      </c>
    </row>
    <row r="214" spans="1:7" ht="49.5">
      <c r="A214" s="44" t="s">
        <v>38</v>
      </c>
      <c r="B214" s="43" t="s">
        <v>883</v>
      </c>
      <c r="C214" s="42" t="s">
        <v>801</v>
      </c>
      <c r="D214" s="41" t="s">
        <v>882</v>
      </c>
      <c r="E214" s="40" t="s">
        <v>881</v>
      </c>
      <c r="F214" s="39" t="s">
        <v>880</v>
      </c>
      <c r="G214" s="38" t="s">
        <v>879</v>
      </c>
    </row>
    <row r="215" spans="1:7" ht="38.25">
      <c r="A215" s="44" t="s">
        <v>878</v>
      </c>
      <c r="B215" s="43" t="s">
        <v>877</v>
      </c>
      <c r="C215" s="42" t="s">
        <v>801</v>
      </c>
      <c r="D215" s="41" t="s">
        <v>876</v>
      </c>
      <c r="E215" s="40" t="s">
        <v>875</v>
      </c>
      <c r="F215" s="39" t="s">
        <v>697</v>
      </c>
      <c r="G215" s="38" t="s">
        <v>874</v>
      </c>
    </row>
    <row r="216" spans="1:7" ht="49.5">
      <c r="A216" s="44" t="s">
        <v>873</v>
      </c>
      <c r="B216" s="43" t="s">
        <v>872</v>
      </c>
      <c r="C216" s="42" t="s">
        <v>801</v>
      </c>
      <c r="D216" s="41" t="s">
        <v>871</v>
      </c>
      <c r="E216" s="40" t="s">
        <v>870</v>
      </c>
      <c r="F216" s="39" t="s">
        <v>763</v>
      </c>
      <c r="G216" s="38" t="s">
        <v>869</v>
      </c>
    </row>
    <row r="217" spans="1:7" ht="66">
      <c r="A217" s="44" t="s">
        <v>868</v>
      </c>
      <c r="B217" s="43" t="s">
        <v>867</v>
      </c>
      <c r="C217" s="42" t="s">
        <v>801</v>
      </c>
      <c r="D217" s="41" t="s">
        <v>866</v>
      </c>
      <c r="E217" s="40" t="s">
        <v>865</v>
      </c>
      <c r="F217" s="39" t="s">
        <v>697</v>
      </c>
      <c r="G217" s="38" t="s">
        <v>864</v>
      </c>
    </row>
    <row r="218" spans="1:7" ht="38.25">
      <c r="A218" s="44" t="s">
        <v>393</v>
      </c>
      <c r="B218" s="43" t="s">
        <v>863</v>
      </c>
      <c r="C218" s="42" t="s">
        <v>801</v>
      </c>
      <c r="D218" s="41" t="s">
        <v>862</v>
      </c>
      <c r="E218" s="40" t="s">
        <v>861</v>
      </c>
      <c r="F218" s="39" t="s">
        <v>763</v>
      </c>
      <c r="G218" s="38" t="s">
        <v>860</v>
      </c>
    </row>
    <row r="219" spans="1:7" ht="49.5">
      <c r="A219" s="44" t="s">
        <v>859</v>
      </c>
      <c r="B219" s="43" t="s">
        <v>858</v>
      </c>
      <c r="C219" s="42" t="s">
        <v>801</v>
      </c>
      <c r="D219" s="41" t="s">
        <v>857</v>
      </c>
      <c r="E219" s="40" t="s">
        <v>856</v>
      </c>
      <c r="F219" s="39" t="s">
        <v>763</v>
      </c>
      <c r="G219" s="38" t="s">
        <v>855</v>
      </c>
    </row>
    <row r="220" spans="1:7" ht="49.5">
      <c r="A220" s="44" t="s">
        <v>316</v>
      </c>
      <c r="B220" s="43" t="s">
        <v>854</v>
      </c>
      <c r="C220" s="42" t="s">
        <v>801</v>
      </c>
      <c r="D220" s="41" t="s">
        <v>853</v>
      </c>
      <c r="E220" s="40" t="s">
        <v>852</v>
      </c>
      <c r="F220" s="39" t="s">
        <v>763</v>
      </c>
      <c r="G220" s="38" t="s">
        <v>851</v>
      </c>
    </row>
    <row r="221" spans="1:7" ht="38.25">
      <c r="A221" s="44" t="s">
        <v>850</v>
      </c>
      <c r="B221" s="43" t="s">
        <v>849</v>
      </c>
      <c r="C221" s="42" t="s">
        <v>801</v>
      </c>
      <c r="D221" s="41" t="s">
        <v>848</v>
      </c>
      <c r="E221" s="40" t="s">
        <v>847</v>
      </c>
      <c r="F221" s="39" t="s">
        <v>697</v>
      </c>
      <c r="G221" s="38" t="s">
        <v>846</v>
      </c>
    </row>
    <row r="222" spans="1:7" ht="66">
      <c r="A222" s="44" t="s">
        <v>845</v>
      </c>
      <c r="B222" s="43" t="s">
        <v>844</v>
      </c>
      <c r="C222" s="42" t="s">
        <v>801</v>
      </c>
      <c r="D222" s="41" t="s">
        <v>843</v>
      </c>
      <c r="E222" s="40" t="s">
        <v>842</v>
      </c>
      <c r="F222" s="39" t="s">
        <v>697</v>
      </c>
      <c r="G222" s="38" t="s">
        <v>841</v>
      </c>
    </row>
    <row r="223" spans="1:7" ht="49.5">
      <c r="A223" s="44" t="s">
        <v>840</v>
      </c>
      <c r="B223" s="43" t="s">
        <v>839</v>
      </c>
      <c r="C223" s="42" t="s">
        <v>801</v>
      </c>
      <c r="D223" s="41" t="s">
        <v>838</v>
      </c>
      <c r="E223" s="40" t="s">
        <v>837</v>
      </c>
      <c r="F223" s="39" t="s">
        <v>697</v>
      </c>
      <c r="G223" s="38" t="s">
        <v>836</v>
      </c>
    </row>
    <row r="224" spans="1:7" ht="49.5">
      <c r="A224" s="44" t="s">
        <v>835</v>
      </c>
      <c r="B224" s="43" t="s">
        <v>834</v>
      </c>
      <c r="C224" s="42" t="s">
        <v>801</v>
      </c>
      <c r="D224" s="41" t="s">
        <v>833</v>
      </c>
      <c r="E224" s="40" t="s">
        <v>832</v>
      </c>
      <c r="F224" s="39" t="s">
        <v>697</v>
      </c>
      <c r="G224" s="38" t="s">
        <v>831</v>
      </c>
    </row>
    <row r="225" spans="1:7" ht="49.5">
      <c r="A225" s="44" t="s">
        <v>830</v>
      </c>
      <c r="B225" s="43" t="s">
        <v>829</v>
      </c>
      <c r="C225" s="42" t="s">
        <v>801</v>
      </c>
      <c r="D225" s="41" t="s">
        <v>828</v>
      </c>
      <c r="E225" s="40" t="s">
        <v>827</v>
      </c>
      <c r="F225" s="39" t="s">
        <v>697</v>
      </c>
      <c r="G225" s="38" t="s">
        <v>826</v>
      </c>
    </row>
    <row r="226" spans="1:7" ht="49.5">
      <c r="A226" s="44" t="s">
        <v>320</v>
      </c>
      <c r="B226" s="43" t="s">
        <v>825</v>
      </c>
      <c r="C226" s="42" t="s">
        <v>801</v>
      </c>
      <c r="D226" s="41" t="s">
        <v>824</v>
      </c>
      <c r="E226" s="40" t="s">
        <v>823</v>
      </c>
      <c r="F226" s="39" t="s">
        <v>697</v>
      </c>
      <c r="G226" s="38" t="s">
        <v>822</v>
      </c>
    </row>
    <row r="227" spans="1:7" ht="66">
      <c r="A227" s="44" t="s">
        <v>821</v>
      </c>
      <c r="B227" s="43" t="s">
        <v>820</v>
      </c>
      <c r="C227" s="42" t="s">
        <v>801</v>
      </c>
      <c r="D227" s="41" t="s">
        <v>819</v>
      </c>
      <c r="E227" s="40" t="s">
        <v>818</v>
      </c>
      <c r="F227" s="39" t="s">
        <v>697</v>
      </c>
      <c r="G227" s="38" t="s">
        <v>817</v>
      </c>
    </row>
    <row r="228" spans="1:7" ht="49.5">
      <c r="A228" s="44" t="s">
        <v>318</v>
      </c>
      <c r="B228" s="43" t="s">
        <v>816</v>
      </c>
      <c r="C228" s="42" t="s">
        <v>801</v>
      </c>
      <c r="D228" s="41" t="s">
        <v>815</v>
      </c>
      <c r="E228" s="40" t="s">
        <v>814</v>
      </c>
      <c r="F228" s="39" t="s">
        <v>697</v>
      </c>
      <c r="G228" s="38" t="s">
        <v>813</v>
      </c>
    </row>
    <row r="229" spans="1:7" ht="49.5">
      <c r="A229" s="44" t="s">
        <v>812</v>
      </c>
      <c r="B229" s="43" t="s">
        <v>811</v>
      </c>
      <c r="C229" s="42" t="s">
        <v>801</v>
      </c>
      <c r="D229" s="41" t="s">
        <v>810</v>
      </c>
      <c r="E229" s="40" t="s">
        <v>809</v>
      </c>
      <c r="F229" s="39" t="s">
        <v>697</v>
      </c>
      <c r="G229" s="38" t="s">
        <v>808</v>
      </c>
    </row>
    <row r="230" spans="1:7" ht="49.5">
      <c r="A230" s="44" t="s">
        <v>807</v>
      </c>
      <c r="B230" s="43" t="s">
        <v>806</v>
      </c>
      <c r="C230" s="42" t="s">
        <v>801</v>
      </c>
      <c r="D230" s="41" t="s">
        <v>800</v>
      </c>
      <c r="E230" s="40" t="s">
        <v>805</v>
      </c>
      <c r="F230" s="39" t="s">
        <v>697</v>
      </c>
      <c r="G230" s="38" t="s">
        <v>804</v>
      </c>
    </row>
    <row r="231" spans="1:7" ht="49.5">
      <c r="A231" s="44" t="s">
        <v>803</v>
      </c>
      <c r="B231" s="43" t="s">
        <v>802</v>
      </c>
      <c r="C231" s="42" t="s">
        <v>801</v>
      </c>
      <c r="D231" s="41" t="s">
        <v>800</v>
      </c>
      <c r="E231" s="40" t="s">
        <v>799</v>
      </c>
      <c r="F231" s="39" t="s">
        <v>697</v>
      </c>
      <c r="G231" s="38" t="s">
        <v>798</v>
      </c>
    </row>
    <row r="232" spans="1:7" ht="49.5">
      <c r="A232" s="44" t="s">
        <v>39</v>
      </c>
      <c r="B232" s="43" t="s">
        <v>797</v>
      </c>
      <c r="C232" s="42" t="s">
        <v>750</v>
      </c>
      <c r="D232" s="41" t="s">
        <v>796</v>
      </c>
      <c r="E232" s="40" t="s">
        <v>795</v>
      </c>
      <c r="F232" s="39" t="s">
        <v>636</v>
      </c>
      <c r="G232" s="38" t="s">
        <v>794</v>
      </c>
    </row>
    <row r="233" spans="1:7" ht="49.5">
      <c r="A233" s="44" t="s">
        <v>40</v>
      </c>
      <c r="B233" s="43" t="s">
        <v>793</v>
      </c>
      <c r="C233" s="42" t="s">
        <v>750</v>
      </c>
      <c r="D233" s="41" t="s">
        <v>792</v>
      </c>
      <c r="E233" s="40" t="s">
        <v>791</v>
      </c>
      <c r="F233" s="39" t="s">
        <v>631</v>
      </c>
      <c r="G233" s="38" t="s">
        <v>790</v>
      </c>
    </row>
    <row r="234" spans="1:7" ht="49.5">
      <c r="A234" s="44" t="s">
        <v>324</v>
      </c>
      <c r="B234" s="43" t="s">
        <v>789</v>
      </c>
      <c r="C234" s="42" t="s">
        <v>750</v>
      </c>
      <c r="D234" s="41" t="s">
        <v>788</v>
      </c>
      <c r="E234" s="40" t="s">
        <v>787</v>
      </c>
      <c r="F234" s="39" t="s">
        <v>763</v>
      </c>
      <c r="G234" s="38" t="s">
        <v>786</v>
      </c>
    </row>
    <row r="235" spans="1:7" ht="49.5">
      <c r="A235" s="44" t="s">
        <v>785</v>
      </c>
      <c r="B235" s="43" t="s">
        <v>784</v>
      </c>
      <c r="C235" s="42" t="s">
        <v>750</v>
      </c>
      <c r="D235" s="41" t="s">
        <v>783</v>
      </c>
      <c r="E235" s="40" t="s">
        <v>782</v>
      </c>
      <c r="F235" s="39" t="s">
        <v>763</v>
      </c>
      <c r="G235" s="38" t="s">
        <v>781</v>
      </c>
    </row>
    <row r="236" spans="1:7" ht="49.5">
      <c r="A236" s="44" t="s">
        <v>780</v>
      </c>
      <c r="B236" s="43" t="s">
        <v>779</v>
      </c>
      <c r="C236" s="42" t="s">
        <v>750</v>
      </c>
      <c r="D236" s="41" t="s">
        <v>778</v>
      </c>
      <c r="E236" s="40" t="s">
        <v>777</v>
      </c>
      <c r="F236" s="39" t="s">
        <v>763</v>
      </c>
      <c r="G236" s="38" t="s">
        <v>776</v>
      </c>
    </row>
    <row r="237" spans="1:7" ht="49.5">
      <c r="A237" s="44" t="s">
        <v>775</v>
      </c>
      <c r="B237" s="43" t="s">
        <v>774</v>
      </c>
      <c r="C237" s="42" t="s">
        <v>750</v>
      </c>
      <c r="D237" s="41" t="s">
        <v>773</v>
      </c>
      <c r="E237" s="40" t="s">
        <v>772</v>
      </c>
      <c r="F237" s="39" t="s">
        <v>763</v>
      </c>
      <c r="G237" s="38" t="s">
        <v>771</v>
      </c>
    </row>
    <row r="238" spans="1:7" ht="49.5">
      <c r="A238" s="44" t="s">
        <v>326</v>
      </c>
      <c r="B238" s="43" t="s">
        <v>770</v>
      </c>
      <c r="C238" s="42" t="s">
        <v>750</v>
      </c>
      <c r="D238" s="41" t="s">
        <v>769</v>
      </c>
      <c r="E238" s="40" t="s">
        <v>768</v>
      </c>
      <c r="F238" s="39" t="s">
        <v>763</v>
      </c>
      <c r="G238" s="38" t="s">
        <v>767</v>
      </c>
    </row>
    <row r="239" spans="1:7" ht="38.25">
      <c r="A239" s="44" t="s">
        <v>328</v>
      </c>
      <c r="B239" s="43" t="s">
        <v>766</v>
      </c>
      <c r="C239" s="42" t="s">
        <v>750</v>
      </c>
      <c r="D239" s="41" t="s">
        <v>765</v>
      </c>
      <c r="E239" s="40" t="s">
        <v>764</v>
      </c>
      <c r="F239" s="39" t="s">
        <v>763</v>
      </c>
      <c r="G239" s="38" t="s">
        <v>762</v>
      </c>
    </row>
    <row r="240" spans="1:7" ht="49.5">
      <c r="A240" s="44" t="s">
        <v>761</v>
      </c>
      <c r="B240" s="43" t="s">
        <v>760</v>
      </c>
      <c r="C240" s="42" t="s">
        <v>750</v>
      </c>
      <c r="D240" s="41" t="s">
        <v>759</v>
      </c>
      <c r="E240" s="40" t="s">
        <v>758</v>
      </c>
      <c r="F240" s="39" t="s">
        <v>697</v>
      </c>
      <c r="G240" s="38" t="s">
        <v>757</v>
      </c>
    </row>
    <row r="241" spans="1:7" ht="49.5">
      <c r="A241" s="44" t="s">
        <v>395</v>
      </c>
      <c r="B241" s="43" t="s">
        <v>756</v>
      </c>
      <c r="C241" s="42" t="s">
        <v>750</v>
      </c>
      <c r="D241" s="41" t="s">
        <v>755</v>
      </c>
      <c r="E241" s="40" t="s">
        <v>754</v>
      </c>
      <c r="F241" s="39" t="s">
        <v>697</v>
      </c>
      <c r="G241" s="38" t="s">
        <v>753</v>
      </c>
    </row>
    <row r="242" spans="1:7" ht="49.5">
      <c r="A242" s="44" t="s">
        <v>752</v>
      </c>
      <c r="B242" s="43" t="s">
        <v>751</v>
      </c>
      <c r="C242" s="42" t="s">
        <v>750</v>
      </c>
      <c r="D242" s="41" t="s">
        <v>749</v>
      </c>
      <c r="E242" s="40" t="s">
        <v>748</v>
      </c>
      <c r="F242" s="39" t="s">
        <v>697</v>
      </c>
      <c r="G242" s="38" t="s">
        <v>747</v>
      </c>
    </row>
    <row r="243" spans="1:7" ht="38.25">
      <c r="A243" s="44" t="s">
        <v>41</v>
      </c>
      <c r="B243" s="43" t="s">
        <v>746</v>
      </c>
      <c r="C243" s="42" t="s">
        <v>700</v>
      </c>
      <c r="D243" s="41" t="s">
        <v>745</v>
      </c>
      <c r="E243" s="40" t="s">
        <v>744</v>
      </c>
      <c r="F243" s="39" t="s">
        <v>636</v>
      </c>
      <c r="G243" s="38" t="s">
        <v>743</v>
      </c>
    </row>
    <row r="244" spans="1:7" ht="49.5">
      <c r="A244" s="44" t="s">
        <v>42</v>
      </c>
      <c r="B244" s="43" t="s">
        <v>742</v>
      </c>
      <c r="C244" s="42" t="s">
        <v>700</v>
      </c>
      <c r="D244" s="41" t="s">
        <v>741</v>
      </c>
      <c r="E244" s="40" t="s">
        <v>740</v>
      </c>
      <c r="F244" s="39" t="s">
        <v>631</v>
      </c>
      <c r="G244" s="38" t="s">
        <v>739</v>
      </c>
    </row>
    <row r="245" spans="1:7" ht="49.5">
      <c r="A245" s="44" t="s">
        <v>738</v>
      </c>
      <c r="B245" s="43" t="s">
        <v>737</v>
      </c>
      <c r="C245" s="42" t="s">
        <v>700</v>
      </c>
      <c r="D245" s="41" t="s">
        <v>736</v>
      </c>
      <c r="E245" s="40" t="s">
        <v>735</v>
      </c>
      <c r="F245" s="39" t="s">
        <v>527</v>
      </c>
      <c r="G245" s="38" t="s">
        <v>734</v>
      </c>
    </row>
    <row r="246" spans="1:7" ht="49.5">
      <c r="A246" s="44" t="s">
        <v>733</v>
      </c>
      <c r="B246" s="43" t="s">
        <v>732</v>
      </c>
      <c r="C246" s="42" t="s">
        <v>700</v>
      </c>
      <c r="D246" s="41" t="s">
        <v>731</v>
      </c>
      <c r="E246" s="40" t="s">
        <v>730</v>
      </c>
      <c r="F246" s="39" t="s">
        <v>527</v>
      </c>
      <c r="G246" s="38" t="s">
        <v>729</v>
      </c>
    </row>
    <row r="247" spans="1:7" ht="49.5">
      <c r="A247" s="44" t="s">
        <v>332</v>
      </c>
      <c r="B247" s="43" t="s">
        <v>728</v>
      </c>
      <c r="C247" s="42" t="s">
        <v>700</v>
      </c>
      <c r="D247" s="41" t="s">
        <v>727</v>
      </c>
      <c r="E247" s="40" t="s">
        <v>726</v>
      </c>
      <c r="F247" s="39" t="s">
        <v>551</v>
      </c>
      <c r="G247" s="38" t="s">
        <v>725</v>
      </c>
    </row>
    <row r="248" spans="1:7" ht="66">
      <c r="A248" s="46" t="s">
        <v>334</v>
      </c>
      <c r="B248" s="43" t="s">
        <v>724</v>
      </c>
      <c r="C248" s="42" t="s">
        <v>700</v>
      </c>
      <c r="D248" s="41" t="s">
        <v>723</v>
      </c>
      <c r="E248" s="40" t="s">
        <v>722</v>
      </c>
      <c r="F248" s="39" t="s">
        <v>551</v>
      </c>
      <c r="G248" s="38" t="s">
        <v>721</v>
      </c>
    </row>
    <row r="249" spans="1:7" ht="49.5">
      <c r="A249" s="44" t="s">
        <v>336</v>
      </c>
      <c r="B249" s="43" t="s">
        <v>720</v>
      </c>
      <c r="C249" s="42" t="s">
        <v>700</v>
      </c>
      <c r="D249" s="41" t="s">
        <v>719</v>
      </c>
      <c r="E249" s="40" t="s">
        <v>718</v>
      </c>
      <c r="F249" s="39" t="s">
        <v>551</v>
      </c>
      <c r="G249" s="38" t="s">
        <v>717</v>
      </c>
    </row>
    <row r="250" spans="1:7" ht="38.25">
      <c r="A250" s="44" t="s">
        <v>716</v>
      </c>
      <c r="B250" s="43" t="s">
        <v>715</v>
      </c>
      <c r="C250" s="42" t="s">
        <v>700</v>
      </c>
      <c r="D250" s="41" t="s">
        <v>714</v>
      </c>
      <c r="E250" s="40" t="s">
        <v>713</v>
      </c>
      <c r="F250" s="39" t="s">
        <v>697</v>
      </c>
      <c r="G250" s="38" t="s">
        <v>712</v>
      </c>
    </row>
    <row r="251" spans="1:7" ht="49.5">
      <c r="A251" s="44" t="s">
        <v>711</v>
      </c>
      <c r="B251" s="43" t="s">
        <v>710</v>
      </c>
      <c r="C251" s="42" t="s">
        <v>700</v>
      </c>
      <c r="D251" s="41" t="s">
        <v>709</v>
      </c>
      <c r="E251" s="40" t="s">
        <v>708</v>
      </c>
      <c r="F251" s="39" t="s">
        <v>697</v>
      </c>
      <c r="G251" s="38" t="s">
        <v>707</v>
      </c>
    </row>
    <row r="252" spans="1:7" ht="49.5">
      <c r="A252" s="45" t="s">
        <v>706</v>
      </c>
      <c r="B252" s="43" t="s">
        <v>705</v>
      </c>
      <c r="C252" s="42" t="s">
        <v>700</v>
      </c>
      <c r="D252" s="41" t="s">
        <v>704</v>
      </c>
      <c r="E252" s="40" t="s">
        <v>703</v>
      </c>
      <c r="F252" s="39" t="s">
        <v>697</v>
      </c>
      <c r="G252" s="38" t="s">
        <v>702</v>
      </c>
    </row>
    <row r="253" spans="1:7" ht="49.5">
      <c r="A253" s="44" t="s">
        <v>397</v>
      </c>
      <c r="B253" s="43" t="s">
        <v>701</v>
      </c>
      <c r="C253" s="42" t="s">
        <v>700</v>
      </c>
      <c r="D253" s="41" t="s">
        <v>699</v>
      </c>
      <c r="E253" s="40" t="s">
        <v>698</v>
      </c>
      <c r="F253" s="39" t="s">
        <v>697</v>
      </c>
      <c r="G253" s="38" t="s">
        <v>696</v>
      </c>
    </row>
    <row r="254" spans="1:7" ht="66">
      <c r="A254" s="44" t="s">
        <v>43</v>
      </c>
      <c r="B254" s="43" t="s">
        <v>695</v>
      </c>
      <c r="C254" s="42" t="s">
        <v>643</v>
      </c>
      <c r="D254" s="41" t="s">
        <v>694</v>
      </c>
      <c r="E254" s="40" t="s">
        <v>693</v>
      </c>
      <c r="F254" s="39" t="s">
        <v>636</v>
      </c>
      <c r="G254" s="38" t="s">
        <v>692</v>
      </c>
    </row>
    <row r="255" spans="1:7" ht="66">
      <c r="A255" s="44" t="s">
        <v>44</v>
      </c>
      <c r="B255" s="43" t="s">
        <v>691</v>
      </c>
      <c r="C255" s="42" t="s">
        <v>643</v>
      </c>
      <c r="D255" s="41" t="s">
        <v>690</v>
      </c>
      <c r="E255" s="40" t="s">
        <v>689</v>
      </c>
      <c r="F255" s="39" t="s">
        <v>688</v>
      </c>
      <c r="G255" s="38" t="s">
        <v>687</v>
      </c>
    </row>
    <row r="256" spans="1:7" ht="66">
      <c r="A256" s="44" t="s">
        <v>344</v>
      </c>
      <c r="B256" s="43" t="s">
        <v>686</v>
      </c>
      <c r="C256" s="42" t="s">
        <v>643</v>
      </c>
      <c r="D256" s="41" t="s">
        <v>685</v>
      </c>
      <c r="E256" s="40" t="s">
        <v>684</v>
      </c>
      <c r="F256" s="39" t="s">
        <v>551</v>
      </c>
      <c r="G256" s="38" t="s">
        <v>683</v>
      </c>
    </row>
    <row r="257" spans="1:7" ht="38.25">
      <c r="A257" s="44" t="s">
        <v>682</v>
      </c>
      <c r="B257" s="43" t="s">
        <v>681</v>
      </c>
      <c r="C257" s="42" t="s">
        <v>643</v>
      </c>
      <c r="D257" s="41" t="s">
        <v>680</v>
      </c>
      <c r="E257" s="40" t="s">
        <v>679</v>
      </c>
      <c r="F257" s="39" t="s">
        <v>551</v>
      </c>
      <c r="G257" s="38" t="s">
        <v>678</v>
      </c>
    </row>
    <row r="258" spans="1:7" ht="38.25">
      <c r="A258" s="44" t="s">
        <v>342</v>
      </c>
      <c r="B258" s="43" t="s">
        <v>677</v>
      </c>
      <c r="C258" s="42" t="s">
        <v>643</v>
      </c>
      <c r="D258" s="41" t="s">
        <v>676</v>
      </c>
      <c r="E258" s="40" t="s">
        <v>675</v>
      </c>
      <c r="F258" s="39" t="s">
        <v>551</v>
      </c>
      <c r="G258" s="38" t="s">
        <v>674</v>
      </c>
    </row>
    <row r="259" spans="1:7" ht="49.5">
      <c r="A259" s="44" t="s">
        <v>340</v>
      </c>
      <c r="B259" s="43" t="s">
        <v>673</v>
      </c>
      <c r="C259" s="42" t="s">
        <v>643</v>
      </c>
      <c r="D259" s="41" t="s">
        <v>672</v>
      </c>
      <c r="E259" s="40" t="s">
        <v>671</v>
      </c>
      <c r="F259" s="39" t="s">
        <v>551</v>
      </c>
      <c r="G259" s="38" t="s">
        <v>670</v>
      </c>
    </row>
    <row r="260" spans="1:7" ht="49.5">
      <c r="A260" s="46" t="s">
        <v>669</v>
      </c>
      <c r="B260" s="43" t="s">
        <v>668</v>
      </c>
      <c r="C260" s="42" t="s">
        <v>643</v>
      </c>
      <c r="D260" s="41" t="s">
        <v>667</v>
      </c>
      <c r="E260" s="40" t="s">
        <v>666</v>
      </c>
      <c r="F260" s="39" t="s">
        <v>551</v>
      </c>
      <c r="G260" s="38" t="s">
        <v>665</v>
      </c>
    </row>
    <row r="261" spans="1:7" ht="49.5">
      <c r="A261" s="44" t="s">
        <v>664</v>
      </c>
      <c r="B261" s="43" t="s">
        <v>663</v>
      </c>
      <c r="C261" s="42" t="s">
        <v>643</v>
      </c>
      <c r="D261" s="41" t="s">
        <v>662</v>
      </c>
      <c r="E261" s="40" t="s">
        <v>661</v>
      </c>
      <c r="F261" s="39" t="s">
        <v>551</v>
      </c>
      <c r="G261" s="38" t="s">
        <v>660</v>
      </c>
    </row>
    <row r="262" spans="1:7" ht="49.5">
      <c r="A262" s="44" t="s">
        <v>399</v>
      </c>
      <c r="B262" s="43" t="s">
        <v>659</v>
      </c>
      <c r="C262" s="42" t="s">
        <v>643</v>
      </c>
      <c r="D262" s="41" t="s">
        <v>658</v>
      </c>
      <c r="E262" s="40" t="s">
        <v>657</v>
      </c>
      <c r="F262" s="39" t="s">
        <v>527</v>
      </c>
      <c r="G262" s="38" t="s">
        <v>656</v>
      </c>
    </row>
    <row r="263" spans="1:7" ht="66">
      <c r="A263" s="44" t="s">
        <v>655</v>
      </c>
      <c r="B263" s="43" t="s">
        <v>654</v>
      </c>
      <c r="C263" s="42" t="s">
        <v>643</v>
      </c>
      <c r="D263" s="41" t="s">
        <v>653</v>
      </c>
      <c r="E263" s="40" t="s">
        <v>652</v>
      </c>
      <c r="F263" s="39" t="s">
        <v>527</v>
      </c>
      <c r="G263" s="38" t="s">
        <v>651</v>
      </c>
    </row>
    <row r="264" spans="1:7" ht="49.5">
      <c r="A264" s="44" t="s">
        <v>650</v>
      </c>
      <c r="B264" s="43" t="s">
        <v>649</v>
      </c>
      <c r="C264" s="42" t="s">
        <v>643</v>
      </c>
      <c r="D264" s="41" t="s">
        <v>648</v>
      </c>
      <c r="E264" s="40" t="s">
        <v>647</v>
      </c>
      <c r="F264" s="39" t="s">
        <v>527</v>
      </c>
      <c r="G264" s="38" t="s">
        <v>646</v>
      </c>
    </row>
    <row r="265" spans="1:7" ht="49.5">
      <c r="A265" s="45" t="s">
        <v>645</v>
      </c>
      <c r="B265" s="43" t="s">
        <v>644</v>
      </c>
      <c r="C265" s="42" t="s">
        <v>643</v>
      </c>
      <c r="D265" s="41" t="s">
        <v>642</v>
      </c>
      <c r="E265" s="40" t="s">
        <v>641</v>
      </c>
      <c r="F265" s="39" t="s">
        <v>527</v>
      </c>
      <c r="G265" s="38" t="s">
        <v>640</v>
      </c>
    </row>
    <row r="266" spans="1:7" ht="49.5">
      <c r="A266" s="44" t="s">
        <v>45</v>
      </c>
      <c r="B266" s="43" t="s">
        <v>639</v>
      </c>
      <c r="C266" s="42" t="s">
        <v>596</v>
      </c>
      <c r="D266" s="41" t="s">
        <v>638</v>
      </c>
      <c r="E266" s="40" t="s">
        <v>637</v>
      </c>
      <c r="F266" s="39" t="s">
        <v>636</v>
      </c>
      <c r="G266" s="38" t="s">
        <v>635</v>
      </c>
    </row>
    <row r="267" spans="1:7" ht="49.5">
      <c r="A267" s="44" t="s">
        <v>46</v>
      </c>
      <c r="B267" s="43" t="s">
        <v>634</v>
      </c>
      <c r="C267" s="42" t="s">
        <v>596</v>
      </c>
      <c r="D267" s="41" t="s">
        <v>633</v>
      </c>
      <c r="E267" s="40" t="s">
        <v>632</v>
      </c>
      <c r="F267" s="39" t="s">
        <v>631</v>
      </c>
      <c r="G267" s="38" t="s">
        <v>630</v>
      </c>
    </row>
    <row r="268" spans="1:7" ht="38.25">
      <c r="A268" s="44" t="s">
        <v>401</v>
      </c>
      <c r="B268" s="43" t="s">
        <v>629</v>
      </c>
      <c r="C268" s="42" t="s">
        <v>596</v>
      </c>
      <c r="D268" s="41" t="s">
        <v>628</v>
      </c>
      <c r="E268" s="40" t="s">
        <v>627</v>
      </c>
      <c r="F268" s="39" t="s">
        <v>527</v>
      </c>
      <c r="G268" s="38" t="s">
        <v>626</v>
      </c>
    </row>
    <row r="269" spans="1:7" ht="49.5">
      <c r="A269" s="44" t="s">
        <v>625</v>
      </c>
      <c r="B269" s="43" t="s">
        <v>624</v>
      </c>
      <c r="C269" s="42" t="s">
        <v>596</v>
      </c>
      <c r="D269" s="41" t="s">
        <v>623</v>
      </c>
      <c r="E269" s="40" t="s">
        <v>622</v>
      </c>
      <c r="F269" s="39" t="s">
        <v>551</v>
      </c>
      <c r="G269" s="38" t="s">
        <v>621</v>
      </c>
    </row>
    <row r="270" spans="1:7" ht="49.5">
      <c r="A270" s="44" t="s">
        <v>350</v>
      </c>
      <c r="B270" s="43" t="s">
        <v>620</v>
      </c>
      <c r="C270" s="42" t="s">
        <v>596</v>
      </c>
      <c r="D270" s="41" t="s">
        <v>619</v>
      </c>
      <c r="E270" s="40" t="s">
        <v>618</v>
      </c>
      <c r="F270" s="39" t="s">
        <v>551</v>
      </c>
      <c r="G270" s="38" t="s">
        <v>617</v>
      </c>
    </row>
    <row r="271" spans="1:7" ht="49.5">
      <c r="A271" s="44" t="s">
        <v>348</v>
      </c>
      <c r="B271" s="43" t="s">
        <v>616</v>
      </c>
      <c r="C271" s="42" t="s">
        <v>596</v>
      </c>
      <c r="D271" s="41" t="s">
        <v>615</v>
      </c>
      <c r="E271" s="40" t="s">
        <v>614</v>
      </c>
      <c r="F271" s="39" t="s">
        <v>551</v>
      </c>
      <c r="G271" s="38" t="s">
        <v>613</v>
      </c>
    </row>
    <row r="272" spans="1:7" ht="49.5">
      <c r="A272" s="44" t="s">
        <v>352</v>
      </c>
      <c r="B272" s="43" t="s">
        <v>612</v>
      </c>
      <c r="C272" s="42" t="s">
        <v>596</v>
      </c>
      <c r="D272" s="41" t="s">
        <v>611</v>
      </c>
      <c r="E272" s="40" t="s">
        <v>610</v>
      </c>
      <c r="F272" s="39" t="s">
        <v>527</v>
      </c>
      <c r="G272" s="38" t="s">
        <v>609</v>
      </c>
    </row>
    <row r="273" spans="1:7" ht="38.25">
      <c r="A273" s="44" t="s">
        <v>608</v>
      </c>
      <c r="B273" s="43" t="s">
        <v>607</v>
      </c>
      <c r="C273" s="42" t="s">
        <v>596</v>
      </c>
      <c r="D273" s="41" t="s">
        <v>606</v>
      </c>
      <c r="E273" s="40" t="s">
        <v>605</v>
      </c>
      <c r="F273" s="39" t="s">
        <v>527</v>
      </c>
      <c r="G273" s="38" t="s">
        <v>604</v>
      </c>
    </row>
    <row r="274" spans="1:7" ht="49.5">
      <c r="A274" s="44" t="s">
        <v>603</v>
      </c>
      <c r="B274" s="43" t="s">
        <v>602</v>
      </c>
      <c r="C274" s="42" t="s">
        <v>596</v>
      </c>
      <c r="D274" s="41" t="s">
        <v>601</v>
      </c>
      <c r="E274" s="40" t="s">
        <v>600</v>
      </c>
      <c r="F274" s="39" t="s">
        <v>527</v>
      </c>
      <c r="G274" s="38" t="s">
        <v>599</v>
      </c>
    </row>
    <row r="275" spans="1:7" ht="38.25">
      <c r="A275" s="44" t="s">
        <v>598</v>
      </c>
      <c r="B275" s="43" t="s">
        <v>597</v>
      </c>
      <c r="C275" s="42" t="s">
        <v>596</v>
      </c>
      <c r="D275" s="41" t="s">
        <v>595</v>
      </c>
      <c r="E275" s="40" t="s">
        <v>594</v>
      </c>
      <c r="F275" s="39" t="s">
        <v>527</v>
      </c>
      <c r="G275" s="38" t="s">
        <v>593</v>
      </c>
    </row>
    <row r="276" spans="1:7" ht="49.5">
      <c r="A276" s="44" t="s">
        <v>47</v>
      </c>
      <c r="B276" s="43" t="s">
        <v>592</v>
      </c>
      <c r="C276" s="42" t="s">
        <v>530</v>
      </c>
      <c r="D276" s="41" t="s">
        <v>591</v>
      </c>
      <c r="E276" s="40" t="s">
        <v>590</v>
      </c>
      <c r="F276" s="39" t="s">
        <v>589</v>
      </c>
      <c r="G276" s="38" t="s">
        <v>588</v>
      </c>
    </row>
    <row r="277" spans="1:7" ht="49.5">
      <c r="A277" s="44" t="s">
        <v>48</v>
      </c>
      <c r="B277" s="43" t="s">
        <v>587</v>
      </c>
      <c r="C277" s="42" t="s">
        <v>530</v>
      </c>
      <c r="D277" s="41" t="s">
        <v>586</v>
      </c>
      <c r="E277" s="40" t="s">
        <v>585</v>
      </c>
      <c r="F277" s="39" t="s">
        <v>584</v>
      </c>
      <c r="G277" s="38" t="s">
        <v>583</v>
      </c>
    </row>
    <row r="278" spans="1:7" ht="49.5">
      <c r="A278" s="44" t="s">
        <v>356</v>
      </c>
      <c r="B278" s="43" t="s">
        <v>582</v>
      </c>
      <c r="C278" s="42" t="s">
        <v>530</v>
      </c>
      <c r="D278" s="41" t="s">
        <v>581</v>
      </c>
      <c r="E278" s="40" t="s">
        <v>580</v>
      </c>
      <c r="F278" s="39" t="s">
        <v>551</v>
      </c>
      <c r="G278" s="38" t="s">
        <v>579</v>
      </c>
    </row>
    <row r="279" spans="1:7" ht="38.25">
      <c r="A279" s="44" t="s">
        <v>578</v>
      </c>
      <c r="B279" s="43" t="s">
        <v>577</v>
      </c>
      <c r="C279" s="42" t="s">
        <v>530</v>
      </c>
      <c r="D279" s="41" t="s">
        <v>576</v>
      </c>
      <c r="E279" s="40" t="s">
        <v>575</v>
      </c>
      <c r="F279" s="39" t="s">
        <v>551</v>
      </c>
      <c r="G279" s="38" t="s">
        <v>574</v>
      </c>
    </row>
    <row r="280" spans="1:7" ht="49.5">
      <c r="A280" s="44" t="s">
        <v>358</v>
      </c>
      <c r="B280" s="43" t="s">
        <v>573</v>
      </c>
      <c r="C280" s="42" t="s">
        <v>530</v>
      </c>
      <c r="D280" s="41" t="s">
        <v>572</v>
      </c>
      <c r="E280" s="40" t="s">
        <v>571</v>
      </c>
      <c r="F280" s="39" t="s">
        <v>551</v>
      </c>
      <c r="G280" s="38" t="s">
        <v>570</v>
      </c>
    </row>
    <row r="281" spans="1:7" ht="66">
      <c r="A281" s="44" t="s">
        <v>569</v>
      </c>
      <c r="B281" s="43" t="s">
        <v>568</v>
      </c>
      <c r="C281" s="42" t="s">
        <v>530</v>
      </c>
      <c r="D281" s="41" t="s">
        <v>567</v>
      </c>
      <c r="E281" s="40" t="s">
        <v>566</v>
      </c>
      <c r="F281" s="39" t="s">
        <v>551</v>
      </c>
      <c r="G281" s="38" t="s">
        <v>565</v>
      </c>
    </row>
    <row r="282" spans="1:7" ht="49.5">
      <c r="A282" s="44" t="s">
        <v>172</v>
      </c>
      <c r="B282" s="43" t="s">
        <v>564</v>
      </c>
      <c r="C282" s="42" t="s">
        <v>530</v>
      </c>
      <c r="D282" s="41" t="s">
        <v>563</v>
      </c>
      <c r="E282" s="40" t="s">
        <v>562</v>
      </c>
      <c r="F282" s="39" t="s">
        <v>551</v>
      </c>
      <c r="G282" s="38" t="s">
        <v>561</v>
      </c>
    </row>
    <row r="283" spans="1:7" ht="49.5">
      <c r="A283" s="44" t="s">
        <v>560</v>
      </c>
      <c r="B283" s="43" t="s">
        <v>559</v>
      </c>
      <c r="C283" s="42" t="s">
        <v>530</v>
      </c>
      <c r="D283" s="41" t="s">
        <v>558</v>
      </c>
      <c r="E283" s="40" t="s">
        <v>557</v>
      </c>
      <c r="F283" s="39" t="s">
        <v>551</v>
      </c>
      <c r="G283" s="38" t="s">
        <v>556</v>
      </c>
    </row>
    <row r="284" spans="1:7" ht="49.5">
      <c r="A284" s="44" t="s">
        <v>555</v>
      </c>
      <c r="B284" s="43" t="s">
        <v>554</v>
      </c>
      <c r="C284" s="42" t="s">
        <v>530</v>
      </c>
      <c r="D284" s="41" t="s">
        <v>553</v>
      </c>
      <c r="E284" s="40" t="s">
        <v>552</v>
      </c>
      <c r="F284" s="39" t="s">
        <v>551</v>
      </c>
      <c r="G284" s="38" t="s">
        <v>550</v>
      </c>
    </row>
    <row r="285" spans="1:7" ht="49.5">
      <c r="A285" s="44" t="s">
        <v>361</v>
      </c>
      <c r="B285" s="43" t="s">
        <v>549</v>
      </c>
      <c r="C285" s="42" t="s">
        <v>530</v>
      </c>
      <c r="D285" s="41" t="s">
        <v>548</v>
      </c>
      <c r="E285" s="40" t="s">
        <v>362</v>
      </c>
      <c r="F285" s="39" t="s">
        <v>527</v>
      </c>
      <c r="G285" s="38" t="s">
        <v>547</v>
      </c>
    </row>
    <row r="286" spans="1:7" ht="49.5">
      <c r="A286" s="44" t="s">
        <v>403</v>
      </c>
      <c r="B286" s="43" t="s">
        <v>546</v>
      </c>
      <c r="C286" s="42" t="s">
        <v>530</v>
      </c>
      <c r="D286" s="41" t="s">
        <v>545</v>
      </c>
      <c r="E286" s="40" t="s">
        <v>544</v>
      </c>
      <c r="F286" s="39" t="s">
        <v>527</v>
      </c>
      <c r="G286" s="38" t="s">
        <v>543</v>
      </c>
    </row>
    <row r="287" spans="1:7" ht="49.5">
      <c r="A287" s="44" t="s">
        <v>542</v>
      </c>
      <c r="B287" s="43" t="s">
        <v>541</v>
      </c>
      <c r="C287" s="42" t="s">
        <v>530</v>
      </c>
      <c r="D287" s="41" t="s">
        <v>540</v>
      </c>
      <c r="E287" s="40" t="s">
        <v>539</v>
      </c>
      <c r="F287" s="39" t="s">
        <v>527</v>
      </c>
      <c r="G287" s="38" t="s">
        <v>538</v>
      </c>
    </row>
    <row r="288" spans="1:7" ht="49.5">
      <c r="A288" s="44" t="s">
        <v>537</v>
      </c>
      <c r="B288" s="43" t="s">
        <v>536</v>
      </c>
      <c r="C288" s="42" t="s">
        <v>530</v>
      </c>
      <c r="D288" s="41" t="s">
        <v>535</v>
      </c>
      <c r="E288" s="40" t="s">
        <v>534</v>
      </c>
      <c r="F288" s="39" t="s">
        <v>527</v>
      </c>
      <c r="G288" s="38" t="s">
        <v>533</v>
      </c>
    </row>
    <row r="289" spans="1:7" ht="49.5">
      <c r="A289" s="44" t="s">
        <v>532</v>
      </c>
      <c r="B289" s="43" t="s">
        <v>531</v>
      </c>
      <c r="C289" s="42" t="s">
        <v>530</v>
      </c>
      <c r="D289" s="41" t="s">
        <v>529</v>
      </c>
      <c r="E289" s="40" t="s">
        <v>528</v>
      </c>
      <c r="F289" s="39" t="s">
        <v>527</v>
      </c>
      <c r="G289" s="38" t="s">
        <v>526</v>
      </c>
    </row>
  </sheetData>
  <hyperlinks>
    <hyperlink ref="E9" r:id="rId1" xr:uid="{A8DAC58C-0674-4A29-BC52-D5924FA0C2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DS ĐB chính thức 2025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Văn Thìn Phan</dc:creator>
  <cp:lastModifiedBy>Văn Thìn Phan</cp:lastModifiedBy>
  <dcterms:created xsi:type="dcterms:W3CDTF">2025-12-25T06:34:02Z</dcterms:created>
  <dcterms:modified xsi:type="dcterms:W3CDTF">2026-01-05T11:21:06Z</dcterms:modified>
</cp:coreProperties>
</file>